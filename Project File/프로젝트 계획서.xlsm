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현재_통합_문서"/>
  <bookViews>
    <workbookView xWindow="7308" yWindow="2520" windowWidth="4692" windowHeight="2820" tabRatio="61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7"/>
  <definedNames>
    <definedName name="_xlnm._FilterDatabase" localSheetId="0" hidden="1">Schedule!$M$3:$N$63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45621"/>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workbook>
</file>

<file path=xl/calcChain.xml><?xml version="1.0" encoding="utf-8"?>
<calcChain xmlns="http://schemas.openxmlformats.org/spreadsheetml/2006/main">
  <c r="W5" i="1" l="1"/>
  <c r="BV5" i="1"/>
  <c r="FG5" i="1"/>
  <c r="W6" i="1"/>
  <c r="BV6" i="1"/>
  <c r="CE6" i="1"/>
  <c r="W7" i="1"/>
  <c r="BV7" i="1"/>
  <c r="CE7" i="1"/>
  <c r="BV8" i="1"/>
  <c r="CE8" i="1"/>
  <c r="S9" i="1"/>
  <c r="W9" i="1"/>
  <c r="FT9" i="1"/>
  <c r="FU9" i="1"/>
  <c r="S10" i="1"/>
  <c r="W10" i="1"/>
  <c r="FT10" i="1"/>
  <c r="FU10" i="1"/>
  <c r="W11" i="1"/>
  <c r="BS11" i="1"/>
  <c r="FE11" i="1"/>
  <c r="W12" i="1"/>
  <c r="BS12" i="1"/>
  <c r="BX12" i="1"/>
  <c r="W13" i="1"/>
  <c r="BS13" i="1"/>
  <c r="BX13" i="1"/>
  <c r="W14" i="1"/>
  <c r="BS14" i="1"/>
  <c r="CB14" i="1"/>
  <c r="W15" i="1"/>
  <c r="BS15" i="1"/>
  <c r="CB15" i="1"/>
  <c r="W16" i="1"/>
  <c r="CI16" i="1"/>
  <c r="FG16" i="1"/>
  <c r="W17" i="1"/>
  <c r="CI17" i="1"/>
  <c r="FM17" i="1"/>
  <c r="W18" i="1"/>
  <c r="CI18" i="1"/>
  <c r="CP18" i="1"/>
  <c r="W19" i="1"/>
  <c r="CI19" i="1"/>
  <c r="CK19" i="1"/>
  <c r="W20" i="1"/>
  <c r="CI20" i="1"/>
  <c r="CP20" i="1"/>
  <c r="W21" i="1"/>
  <c r="CO21" i="1"/>
  <c r="DK21" i="1"/>
  <c r="W22" i="1"/>
  <c r="CO22" i="1"/>
  <c r="DK22" i="1"/>
  <c r="W23" i="1"/>
  <c r="DJ23" i="1"/>
  <c r="FF23" i="1"/>
  <c r="W24" i="1"/>
  <c r="DJ24" i="1"/>
  <c r="DZ24" i="1"/>
  <c r="W25" i="1"/>
  <c r="DY25" i="1"/>
  <c r="ET25" i="1"/>
  <c r="S26" i="1"/>
  <c r="W26" i="1"/>
  <c r="ES26" i="1"/>
  <c r="FE26" i="1"/>
  <c r="S27" i="1"/>
  <c r="W27" i="1"/>
  <c r="FG27" i="1"/>
  <c r="FJ27" i="1"/>
  <c r="S28" i="1"/>
  <c r="W28" i="1"/>
  <c r="FG28" i="1"/>
  <c r="FI28" i="1"/>
  <c r="S29" i="1"/>
  <c r="W29" i="1"/>
  <c r="FN29" i="1"/>
  <c r="FP29" i="1"/>
  <c r="S30" i="1"/>
  <c r="W30" i="1"/>
  <c r="FG30" i="1"/>
  <c r="FH30" i="1"/>
  <c r="S31" i="1"/>
  <c r="W31" i="1"/>
  <c r="FG31" i="1"/>
  <c r="FH31" i="1"/>
  <c r="S32" i="1"/>
  <c r="W32" i="1"/>
  <c r="GI32" i="1"/>
  <c r="GJ32" i="1"/>
  <c r="R5" i="1"/>
  <c r="R9" i="1"/>
  <c r="R13" i="1"/>
  <c r="S16" i="1"/>
  <c r="R17" i="1"/>
  <c r="R21" i="1"/>
  <c r="R25" i="1"/>
  <c r="R29" i="1"/>
  <c r="S5" i="1"/>
  <c r="R6" i="1"/>
  <c r="W8" i="1"/>
  <c r="R10" i="1"/>
  <c r="R14" i="1"/>
  <c r="S17" i="1"/>
  <c r="R18" i="1"/>
  <c r="R22" i="1"/>
  <c r="S25" i="1"/>
  <c r="R26" i="1"/>
  <c r="R30" i="1"/>
  <c r="R7" i="1"/>
  <c r="R11" i="1"/>
  <c r="R15" i="1"/>
  <c r="R19" i="1"/>
  <c r="R23" i="1"/>
  <c r="R27" i="1"/>
  <c r="R31" i="1"/>
  <c r="R8" i="1"/>
  <c r="S11" i="1"/>
  <c r="R12" i="1"/>
  <c r="R16" i="1"/>
  <c r="R20" i="1"/>
  <c r="S23" i="1"/>
  <c r="R24" i="1"/>
  <c r="R28" i="1"/>
  <c r="R32" i="1"/>
  <c r="S24" i="1" l="1"/>
  <c r="S20" i="1"/>
  <c r="S12" i="1"/>
  <c r="S8" i="1"/>
  <c r="S19" i="1"/>
  <c r="S15" i="1"/>
  <c r="S7" i="1"/>
  <c r="S22" i="1"/>
  <c r="S18" i="1"/>
  <c r="S14" i="1"/>
  <c r="S6" i="1"/>
  <c r="S21" i="1"/>
  <c r="S13" i="1"/>
  <c r="G7" i="29"/>
  <c r="E8" i="29"/>
  <c r="F8" i="29" s="1"/>
  <c r="F7" i="29"/>
  <c r="H28" i="28"/>
  <c r="C5" i="2" l="1"/>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B24" i="15" l="1"/>
  <c r="AB2" i="1"/>
  <c r="AB1" i="1"/>
  <c r="D1" i="1"/>
</calcChain>
</file>

<file path=xl/sharedStrings.xml><?xml version="1.0" encoding="utf-8"?>
<sst xmlns="http://schemas.openxmlformats.org/spreadsheetml/2006/main" count="1466" uniqueCount="1115">
  <si>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</si>
  <si>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</si>
  <si>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</si>
  <si>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</si>
  <si>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</si>
  <si>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</si>
  <si>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</si>
  <si>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</si>
  <si>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</si>
  <si>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</si>
  <si>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</si>
  <si>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</si>
  <si>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</si>
  <si>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</si>
  <si>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</si>
  <si>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</si>
  <si>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</si>
  <si>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</si>
  <si>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</si>
  <si>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</si>
  <si>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</si>
  <si>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</si>
  <si>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</si>
  <si>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</si>
  <si>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</si>
  <si>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</si>
  <si>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</si>
  <si>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</si>
  <si>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</si>
  <si>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</si>
  <si>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</si>
  <si>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</si>
  <si>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</si>
  <si>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</si>
  <si>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</si>
  <si>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</si>
  <si>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</si>
  <si>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</si>
  <si>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</si>
  <si>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</si>
  <si>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</si>
  <si>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</si>
  <si>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</si>
  <si>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</si>
  <si>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</si>
  <si>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</si>
  <si>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</si>
  <si>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</si>
  <si>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</si>
  <si>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</si>
  <si>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</si>
  <si>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</si>
  <si>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</si>
  <si>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</si>
  <si>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</si>
  <si>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</si>
  <si>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</si>
  <si>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</si>
  <si>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</si>
  <si>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</si>
  <si>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</si>
  <si>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</si>
  <si>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</si>
  <si>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</si>
  <si>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</si>
  <si>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</si>
  <si>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</si>
  <si>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</si>
  <si>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</si>
  <si>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</si>
  <si>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</si>
  <si>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</si>
  <si>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</si>
  <si>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</si>
  <si>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</si>
  <si>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</si>
  <si>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</si>
  <si>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</si>
  <si>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</si>
  <si>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</si>
  <si>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</si>
  <si>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</si>
  <si>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</si>
  <si>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</si>
  <si>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</si>
  <si>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</si>
  <si>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</si>
  <si>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</si>
  <si>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</si>
  <si>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</si>
  <si>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</si>
  <si>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</si>
  <si>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</si>
  <si>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</si>
  <si>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</si>
  <si>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</si>
  <si>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</si>
  <si>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</si>
  <si>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</si>
  <si>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</si>
  <si>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</si>
  <si>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</si>
  <si>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</si>
  <si>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</si>
  <si>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</si>
  <si>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</si>
  <si>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</si>
  <si>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</si>
  <si>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</si>
  <si>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</si>
  <si>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</si>
  <si>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</si>
  <si>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</si>
  <si>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</si>
  <si>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</si>
  <si>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</si>
  <si>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</si>
  <si>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</si>
  <si>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</si>
  <si>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</si>
  <si>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</si>
  <si>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</si>
  <si>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</si>
  <si>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</si>
  <si>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</si>
  <si>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</si>
  <si>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</si>
  <si>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</si>
  <si>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</si>
  <si>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</si>
  <si>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</si>
  <si>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</si>
  <si>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</si>
  <si>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</si>
  <si>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</si>
  <si>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</si>
  <si>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</si>
  <si>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</si>
  <si>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</si>
  <si>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</si>
  <si>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</si>
  <si>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</si>
  <si>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</si>
  <si>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</si>
  <si>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</si>
  <si>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</si>
  <si>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</si>
  <si>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</si>
  <si>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</si>
  <si>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</si>
  <si>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</si>
  <si>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</si>
  <si>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</si>
  <si>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</si>
  <si>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</si>
  <si>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</si>
  <si>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</si>
  <si>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</si>
  <si>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</si>
  <si>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</si>
  <si>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</si>
  <si>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</si>
  <si>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</si>
  <si>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</si>
  <si>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</si>
  <si>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</si>
  <si>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</si>
  <si>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</si>
  <si>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</si>
  <si>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</si>
  <si>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</si>
  <si>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</si>
  <si>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</si>
  <si>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</si>
  <si>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</si>
  <si>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</si>
  <si>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</si>
  <si>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</si>
  <si>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</si>
  <si>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</si>
  <si>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</si>
  <si>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</si>
  <si>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</si>
  <si>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</si>
  <si>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</si>
  <si>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</si>
  <si>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</si>
  <si>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</si>
  <si>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</si>
  <si>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</si>
  <si>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</si>
  <si>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</si>
  <si>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</si>
  <si>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</si>
  <si>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</si>
  <si>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</si>
  <si>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</si>
  <si>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</si>
  <si>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</si>
  <si>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</si>
  <si>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</si>
  <si>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</si>
  <si>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</si>
  <si>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</si>
  <si>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</si>
  <si>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</si>
  <si>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</si>
  <si>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</si>
  <si>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</si>
  <si>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</si>
  <si>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</si>
  <si>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</si>
  <si>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</si>
  <si>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</si>
  <si>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</si>
  <si>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</si>
  <si>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</si>
  <si>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</si>
  <si>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</si>
  <si>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</si>
  <si>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</si>
  <si>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</si>
  <si>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</si>
  <si>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</si>
  <si>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</si>
  <si>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</si>
  <si>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</si>
  <si>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</si>
  <si>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</si>
  <si>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</si>
  <si>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</si>
  <si>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</si>
  <si>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</si>
  <si>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</si>
  <si>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</si>
  <si>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</si>
  <si>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</si>
  <si>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</si>
  <si>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</si>
  <si>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</si>
  <si>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</si>
  <si>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</si>
  <si>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</si>
  <si>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</si>
  <si>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</si>
  <si>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</si>
  <si>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</si>
  <si>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</si>
  <si>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</si>
  <si>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</si>
  <si>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</si>
  <si>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</si>
  <si>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</si>
  <si>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</si>
  <si>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</si>
  <si>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</si>
  <si>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</si>
  <si>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</si>
  <si>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</si>
  <si>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</si>
  <si>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</si>
  <si>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</si>
  <si>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</si>
  <si>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</si>
  <si>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</si>
  <si>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</si>
  <si>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</si>
  <si>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</si>
  <si>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</si>
  <si>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</si>
  <si>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</si>
  <si>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</si>
  <si>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</si>
  <si>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</si>
  <si>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</si>
  <si>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</si>
  <si>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</si>
  <si>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</si>
  <si>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</si>
  <si>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</si>
  <si>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</si>
  <si>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</si>
  <si>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</si>
  <si>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</si>
  <si>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</si>
  <si>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</si>
  <si>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</si>
  <si>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</si>
  <si>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</si>
  <si>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</si>
  <si>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</si>
  <si>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</si>
  <si>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</si>
  <si>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</si>
  <si>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</si>
  <si>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</si>
  <si>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</si>
  <si>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</si>
  <si>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</si>
  <si>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</si>
  <si>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</si>
  <si>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</si>
  <si>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</si>
  <si>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</si>
  <si>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</si>
  <si>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</si>
  <si>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</si>
  <si>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</si>
  <si>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</si>
  <si>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</si>
  <si>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</si>
  <si>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</si>
  <si>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</si>
  <si>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</si>
  <si>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</si>
  <si>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</si>
  <si>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</si>
  <si>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</si>
  <si>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</si>
  <si>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</si>
  <si>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</si>
  <si>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</si>
  <si>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</si>
  <si>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</si>
  <si>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</si>
  <si>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</si>
  <si>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</si>
  <si>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</si>
  <si>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</si>
  <si>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</si>
  <si>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</si>
  <si>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</si>
  <si>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</si>
  <si>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</si>
  <si>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</si>
  <si>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</si>
  <si>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</si>
  <si>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</si>
  <si>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</si>
  <si>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</si>
  <si>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</si>
  <si>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</si>
  <si>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</si>
  <si>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</si>
  <si>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</si>
  <si>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</si>
  <si>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</si>
  <si>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</si>
  <si>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</si>
  <si>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</si>
  <si>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</si>
  <si>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</si>
  <si>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</si>
  <si>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</si>
  <si>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</si>
  <si>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</si>
  <si>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</si>
  <si>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</si>
  <si>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</si>
  <si>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</si>
  <si>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</si>
  <si>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</si>
  <si>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</si>
  <si>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</si>
  <si>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</si>
  <si>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</si>
  <si>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</si>
  <si>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</si>
  <si>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</si>
  <si>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</si>
  <si>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</si>
  <si>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</si>
  <si>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</si>
  <si>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</si>
  <si>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</si>
  <si>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</si>
  <si>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</si>
  <si>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</si>
  <si>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</si>
  <si>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</si>
  <si>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</si>
  <si>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</si>
  <si>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</si>
  <si>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</si>
  <si>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</si>
  <si>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</si>
  <si>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</si>
  <si>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</si>
  <si>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</si>
  <si>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</si>
  <si>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</si>
  <si>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</si>
  <si>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</si>
  <si>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</si>
  <si>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</si>
  <si>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</si>
  <si>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</si>
  <si>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</si>
  <si>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</si>
  <si>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</si>
  <si>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</si>
  <si>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</si>
  <si>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</si>
  <si>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</si>
  <si>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</si>
  <si>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</si>
  <si>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</si>
  <si>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</si>
  <si>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</si>
  <si>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</si>
  <si>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</si>
  <si>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</si>
  <si>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</si>
  <si>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</si>
  <si>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</si>
  <si>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</si>
  <si>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</si>
  <si>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</si>
  <si>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</si>
  <si>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</si>
  <si>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</si>
  <si>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</si>
  <si>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</si>
  <si>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</si>
  <si>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</si>
  <si>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</si>
  <si>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</si>
  <si>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</si>
  <si>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</si>
  <si>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</si>
  <si>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</si>
  <si>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</si>
  <si>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</si>
  <si>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</si>
  <si>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</si>
  <si>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</si>
  <si>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</si>
  <si>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</si>
  <si>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</si>
  <si>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</si>
  <si>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</si>
  <si>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</si>
  <si>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</si>
  <si>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</si>
  <si>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</si>
  <si>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</si>
  <si>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</si>
  <si>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</si>
  <si>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</si>
  <si>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</si>
  <si>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</si>
  <si>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</si>
  <si>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</si>
  <si>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</si>
  <si>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</si>
  <si>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</si>
  <si>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</si>
  <si>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</si>
  <si>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</si>
  <si>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</si>
  <si>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</si>
  <si>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</si>
  <si>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</si>
  <si>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</si>
  <si>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</si>
  <si>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</si>
  <si>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</si>
  <si>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</si>
  <si>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</si>
  <si>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</si>
  <si>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</si>
  <si>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</si>
  <si>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</si>
  <si>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</si>
  <si>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</si>
  <si>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</si>
  <si>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</si>
  <si>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</si>
  <si>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</si>
  <si>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</si>
  <si>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</si>
  <si>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</si>
  <si>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</si>
  <si>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</si>
  <si>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</si>
  <si>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</si>
  <si>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</si>
  <si>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</si>
  <si>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</si>
  <si>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</si>
  <si>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</si>
  <si>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</si>
  <si>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</si>
  <si>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</si>
  <si>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</si>
  <si>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</si>
  <si>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</si>
  <si>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</si>
  <si>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</si>
  <si>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</si>
  <si>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</si>
  <si>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</si>
  <si>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</si>
  <si>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</si>
  <si>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</si>
  <si>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</si>
  <si>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</si>
  <si>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</si>
  <si>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</si>
  <si>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</si>
  <si>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</si>
  <si>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</si>
  <si>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</si>
  <si>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</si>
  <si>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</si>
  <si>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</si>
  <si>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</si>
  <si>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</si>
  <si>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</si>
  <si>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</si>
  <si>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</si>
  <si>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</si>
  <si>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</si>
  <si>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</si>
  <si>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</si>
  <si>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</si>
  <si>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</si>
  <si>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</si>
  <si>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</si>
  <si>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</si>
  <si>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</si>
  <si>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</si>
  <si>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</si>
  <si>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</si>
  <si>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</si>
  <si>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</si>
  <si>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</si>
  <si>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</si>
  <si>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</si>
  <si>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</si>
  <si>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</si>
  <si>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</si>
  <si>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</si>
  <si>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</si>
  <si>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</si>
  <si>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</si>
  <si>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</si>
  <si>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</si>
  <si>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</si>
  <si>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</si>
  <si>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</si>
  <si>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</si>
  <si>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</si>
  <si>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</si>
  <si>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</si>
  <si>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</si>
  <si>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</si>
  <si>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</si>
  <si>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</si>
  <si>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</si>
  <si>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</si>
  <si>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</si>
  <si>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</si>
  <si>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</si>
  <si>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</si>
  <si>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</si>
  <si>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</si>
  <si>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</si>
  <si>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</si>
  <si>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</si>
  <si>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</si>
  <si>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</si>
  <si>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</si>
  <si>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</si>
  <si>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</si>
  <si>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</si>
  <si>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</si>
  <si>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</si>
  <si>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</si>
  <si>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</si>
  <si>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</si>
  <si>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</si>
  <si>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</si>
  <si>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</si>
  <si>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</si>
  <si>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</si>
  <si>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</si>
  <si>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</si>
  <si>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</si>
  <si>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</si>
  <si>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</si>
  <si>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</si>
  <si>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</si>
  <si>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</si>
  <si>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</si>
  <si>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</si>
  <si>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</si>
  <si>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</si>
  <si>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</si>
  <si>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</si>
  <si>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</si>
  <si>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</si>
  <si>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</si>
  <si>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</si>
  <si>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</si>
  <si>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</si>
  <si>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</si>
  <si>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</si>
  <si>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</si>
  <si>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</si>
  <si>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</si>
  <si>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</si>
  <si>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</si>
  <si>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</si>
  <si>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</si>
  <si>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</si>
  <si>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</si>
  <si>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</si>
  <si>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</si>
  <si>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</si>
  <si>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</si>
  <si>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</si>
  <si>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</si>
  <si>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</si>
  <si>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</si>
  <si>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</si>
  <si>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</si>
  <si>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</si>
  <si>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</si>
  <si>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</si>
  <si>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</si>
  <si>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</si>
  <si>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</si>
  <si>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</si>
  <si>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</si>
  <si>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</si>
  <si>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</si>
  <si>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</si>
  <si>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</si>
  <si>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</si>
  <si>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</si>
  <si>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</si>
  <si>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</si>
  <si>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</si>
  <si>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</si>
  <si>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</si>
  <si>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</si>
  <si>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</si>
  <si>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</si>
  <si>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</si>
  <si>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</si>
  <si>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</si>
  <si>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</si>
  <si>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</si>
  <si>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</si>
  <si>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</si>
  <si>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</si>
  <si>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</si>
  <si>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</si>
  <si>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</si>
  <si>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</si>
  <si>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</si>
  <si>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</si>
  <si>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</si>
  <si>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</si>
  <si>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</si>
  <si>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</si>
  <si>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</si>
  <si>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</si>
  <si>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</si>
  <si>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</si>
  <si>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</si>
  <si>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</si>
  <si>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</si>
  <si>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</si>
  <si>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</si>
  <si>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</si>
  <si>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</si>
  <si>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</si>
  <si>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</si>
  <si>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</si>
  <si>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</si>
  <si>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</si>
  <si>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</si>
  <si>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</si>
  <si>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</si>
  <si>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</si>
  <si>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</si>
  <si>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</si>
  <si>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</si>
  <si>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</si>
  <si>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</si>
  <si>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</si>
  <si>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</si>
  <si>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</si>
  <si>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</si>
  <si>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</si>
  <si>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</si>
  <si>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</si>
  <si>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</si>
  <si>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</si>
  <si>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</si>
  <si>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</si>
  <si>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</si>
  <si>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</si>
  <si>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</si>
  <si>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</si>
  <si>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</si>
  <si>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</si>
  <si>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</si>
  <si>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</si>
  <si>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</si>
  <si>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</si>
  <si>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</si>
  <si>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</si>
  <si>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</si>
  <si>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</si>
  <si>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</si>
  <si>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</si>
  <si>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</si>
  <si>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</si>
  <si>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</si>
  <si>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</si>
  <si>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</si>
  <si>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</si>
  <si>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</si>
  <si>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</si>
  <si>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</si>
  <si>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</si>
  <si>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</si>
  <si>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</si>
  <si>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</si>
  <si>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</si>
  <si>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</si>
  <si>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</si>
  <si>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</si>
  <si>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</si>
  <si>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</si>
  <si>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</si>
  <si>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</si>
  <si>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</si>
  <si>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</si>
  <si>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</si>
  <si>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</si>
  <si>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</si>
  <si>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</si>
  <si>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</si>
  <si>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</si>
  <si>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</si>
  <si>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</si>
  <si>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</si>
  <si>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</si>
  <si>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</si>
  <si>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</si>
  <si>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</si>
  <si>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</si>
  <si>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</si>
  <si>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</si>
  <si>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</si>
  <si>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</si>
  <si>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</si>
  <si>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</si>
  <si>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</si>
  <si>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</si>
  <si>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</si>
  <si>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</si>
  <si>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</si>
  <si>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</si>
  <si>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</si>
  <si>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</si>
  <si>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</si>
  <si>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</si>
  <si>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</si>
  <si>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</si>
  <si>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</si>
  <si>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</si>
  <si>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</si>
  <si>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</si>
  <si>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</si>
  <si>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</si>
  <si>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</si>
  <si>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</si>
  <si>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</si>
  <si>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</si>
  <si>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</si>
  <si>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</si>
  <si>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</si>
  <si>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</si>
  <si>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</si>
  <si>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</si>
  <si>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</si>
  <si>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</si>
  <si>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</si>
  <si>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</si>
  <si>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</si>
  <si>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</si>
  <si>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</si>
  <si>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</si>
  <si>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</si>
  <si>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</si>
  <si>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</si>
  <si>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</si>
  <si>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</si>
  <si>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</si>
  <si>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</si>
  <si>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</si>
  <si>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</si>
  <si>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</si>
  <si>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</si>
  <si>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</si>
  <si>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</si>
  <si>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</si>
  <si>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</si>
  <si>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</si>
  <si>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</si>
  <si>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</si>
  <si>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</si>
  <si>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</si>
  <si>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</si>
  <si>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</si>
  <si>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</si>
  <si>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</si>
  <si>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</si>
  <si>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</si>
  <si>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</si>
  <si>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</si>
  <si>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</si>
  <si>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</si>
  <si>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</si>
  <si>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</si>
  <si>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</si>
  <si>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</si>
  <si>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</si>
  <si>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</si>
  <si>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</si>
  <si>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</si>
  <si>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</si>
  <si>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</si>
  <si>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</si>
  <si>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</si>
  <si>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</si>
  <si>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</si>
  <si>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</si>
  <si>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</si>
  <si>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</si>
  <si>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</si>
  <si>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</si>
  <si>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</si>
  <si>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</si>
  <si>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</si>
  <si>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</si>
  <si>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</si>
  <si>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</si>
  <si>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Name:setTaskDateToProjectDate</t>
  </si>
  <si>
    <t>프로젝트 계획 수립</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</si>
  <si>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</si>
  <si>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</si>
  <si>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</si>
  <si>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</si>
  <si>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</si>
  <si>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</si>
  <si>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</si>
  <si>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</si>
  <si>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</si>
  <si>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</si>
  <si>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</si>
  <si>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</si>
  <si>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</si>
  <si>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</si>
  <si>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</si>
  <si>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</si>
  <si>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</si>
  <si>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</si>
  <si>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</si>
  <si>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</si>
  <si>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</si>
  <si>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</si>
  <si>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</si>
  <si>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</si>
  <si>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</si>
  <si>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</si>
  <si>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</si>
  <si>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</si>
  <si>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</si>
  <si>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</si>
  <si>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</si>
  <si>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</si>
  <si>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</si>
  <si>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</si>
  <si>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</si>
  <si>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</si>
  <si>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</si>
  <si>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</si>
  <si>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</si>
  <si>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</si>
  <si>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</si>
  <si>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</si>
  <si>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</si>
  <si>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</si>
  <si>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</si>
  <si>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</si>
  <si>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</si>
  <si>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</si>
  <si>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</si>
  <si>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</si>
  <si>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</si>
  <si>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</si>
  <si>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</si>
  <si>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</si>
  <si>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</si>
  <si>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</si>
  <si>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</si>
  <si>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</si>
  <si>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</si>
  <si>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</si>
  <si>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</si>
  <si>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</si>
  <si>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</si>
  <si>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</si>
  <si>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</si>
  <si>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</si>
  <si>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</si>
  <si>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</si>
  <si>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</si>
  <si>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</si>
  <si>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</si>
  <si>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</si>
  <si>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</si>
  <si>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</si>
  <si>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</si>
  <si>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</si>
  <si>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</si>
  <si>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</si>
  <si>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</si>
  <si>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</si>
  <si>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</si>
  <si>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</si>
  <si>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</si>
  <si>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</si>
  <si>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</si>
  <si>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</si>
  <si>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</si>
  <si>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</si>
  <si>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</si>
  <si>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</si>
  <si>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</si>
  <si>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</si>
  <si>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 종료</t>
  </si>
  <si>
    <t>검수 및 종료</t>
  </si>
  <si>
    <t>시스템 개발</t>
  </si>
  <si>
    <t>요구사항정의</t>
  </si>
  <si>
    <t>설계</t>
  </si>
  <si>
    <t>UI 설계</t>
  </si>
  <si>
    <t>개발</t>
  </si>
  <si>
    <t>프로그램 개발</t>
  </si>
  <si>
    <t>테스트실시</t>
  </si>
  <si>
    <t>통합테스트실시</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</si>
  <si>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</si>
  <si>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</si>
  <si>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</si>
  <si>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</si>
  <si>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</si>
  <si>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</si>
  <si>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</si>
  <si>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</si>
  <si>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</si>
  <si>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</si>
  <si>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</si>
  <si>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</si>
  <si>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</si>
  <si>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</si>
  <si>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</si>
  <si>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</si>
  <si>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</si>
  <si>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</si>
  <si>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</si>
  <si>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</si>
  <si>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</si>
  <si>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</si>
  <si>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</si>
  <si>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</si>
  <si>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</si>
  <si>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</si>
  <si>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</si>
  <si>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1.2.1</t>
  </si>
  <si>
    <t>2.1.1</t>
  </si>
  <si>
    <t>2.2.1</t>
  </si>
  <si>
    <t>2.3.1.1</t>
  </si>
  <si>
    <t>2.3.2.1</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</si>
  <si>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</si>
  <si>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</si>
  <si>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</si>
  <si>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Name:selectedLanguageList</t>
    <phoneticPr fontId="1" type="noConversion"/>
  </si>
  <si>
    <t>G</t>
  </si>
  <si>
    <t>1</t>
  </si>
  <si>
    <t>1.1</t>
  </si>
  <si>
    <t>1.2</t>
  </si>
  <si>
    <t>2</t>
  </si>
  <si>
    <t>2.1</t>
  </si>
  <si>
    <t>2.2</t>
  </si>
  <si>
    <t>2.3</t>
  </si>
  <si>
    <t>2.3.1</t>
  </si>
  <si>
    <t>2.3.1.2</t>
  </si>
  <si>
    <t>2.3.1.2.1</t>
  </si>
  <si>
    <t>2.3.2</t>
  </si>
  <si>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</si>
  <si>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</si>
  <si>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</si>
  <si>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</si>
  <si>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</si>
  <si>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</si>
  <si>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</si>
  <si>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</si>
  <si>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</si>
  <si>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</si>
  <si>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</si>
  <si>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</si>
  <si>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</si>
  <si>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</si>
  <si>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</si>
  <si>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</si>
  <si>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</si>
  <si>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</si>
  <si>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</si>
  <si>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</si>
  <si>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</si>
  <si>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</si>
  <si>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</si>
  <si>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</si>
  <si>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프로젝트 착수 및 계획수립</t>
  </si>
  <si>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</si>
  <si>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모바일SW - 세탁왕</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</si>
  <si>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</si>
  <si>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</si>
  <si>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</si>
  <si>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</si>
  <si>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</si>
  <si>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엑셀</t>
    <phoneticPr fontId="1" type="noConversion"/>
  </si>
  <si>
    <t>xls*</t>
    <phoneticPr fontId="1" type="noConversion"/>
  </si>
  <si>
    <t>자동지정</t>
    <phoneticPr fontId="1" type="noConversion"/>
  </si>
  <si>
    <t>Auto CAD</t>
    <phoneticPr fontId="1" type="noConversion"/>
  </si>
  <si>
    <t>cad</t>
    <phoneticPr fontId="1" type="noConversion"/>
  </si>
  <si>
    <t>c:\cad\cad\cad.exe</t>
    <phoneticPr fontId="1" type="noConversion"/>
  </si>
  <si>
    <t>아크로에디터</t>
    <phoneticPr fontId="1" type="noConversion"/>
  </si>
  <si>
    <t>ace</t>
    <phoneticPr fontId="1" type="noConversion"/>
  </si>
  <si>
    <t>c:\ace\aaa.exe</t>
    <phoneticPr fontId="1" type="noConversion"/>
  </si>
  <si>
    <t>메모장</t>
    <phoneticPr fontId="1" type="noConversion"/>
  </si>
  <si>
    <t>txt</t>
    <phoneticPr fontId="1" type="noConversion"/>
  </si>
  <si>
    <t>C:\WINDOWS\system32\notepad.exe</t>
    <phoneticPr fontId="1" type="noConversion"/>
  </si>
  <si>
    <t>E</t>
    <phoneticPr fontId="1" type="noConversion"/>
  </si>
  <si>
    <t>1:English,82:Korean</t>
    <phoneticPr fontId="1" type="noConversion"/>
  </si>
  <si>
    <t>레이아웃</t>
  </si>
  <si>
    <t>사용자</t>
  </si>
  <si>
    <t>가게</t>
  </si>
  <si>
    <t>DB, 서버</t>
  </si>
  <si>
    <t>파이어베이스</t>
  </si>
  <si>
    <t>기능</t>
  </si>
  <si>
    <t>지도, GPS</t>
  </si>
  <si>
    <t>목록 DB연동</t>
  </si>
  <si>
    <t>발표</t>
  </si>
  <si>
    <t>2.3.1.1.1</t>
  </si>
  <si>
    <t>2.3.1.1.2</t>
  </si>
  <si>
    <t>2.3.1.3</t>
  </si>
  <si>
    <t>2.3.1.3.1</t>
  </si>
  <si>
    <t>2.3.1.3.2</t>
  </si>
  <si>
    <t>3</t>
  </si>
  <si>
    <t>프로젝트 계획서.excel</t>
  </si>
  <si>
    <t>최종 완성 어플</t>
  </si>
  <si>
    <t>UI.pptx</t>
  </si>
  <si>
    <t>1.1.1.1</t>
  </si>
  <si>
    <t>TODAY</t>
    <phoneticPr fontId="1" type="noConversion"/>
  </si>
  <si>
    <t>DEFINED</t>
    <phoneticPr fontId="1" type="noConversion"/>
  </si>
  <si>
    <t>C:\Users\user01\Downloads</t>
    <phoneticPr fontId="1" type="noConversion"/>
  </si>
  <si>
    <t>일 (월평균 근무일수)</t>
  </si>
  <si>
    <t>Workload(담당별)</t>
  </si>
  <si>
    <t>* 담당별 Workload를 보여줍니다.</t>
  </si>
  <si>
    <t>* "Workload(담당별)" 메뉴를 클릭해야 내용이 갱신됩니다.</t>
  </si>
  <si>
    <t>Workload_x000D_
(Man-Day)</t>
  </si>
  <si>
    <t>Workload_x000D_
(Man-Month)</t>
  </si>
  <si>
    <t>{"TASK_FIRST_COL":"5","START_ROW":"5","WBS_AREA_LAST_COL":"28"}</t>
    <phoneticPr fontId="1" type="noConversion"/>
  </si>
  <si>
    <t>SCHEDULE_SHEET_POSITION:3545121314151617181920212223242526272829</t>
    <phoneticPr fontId="1" type="noConversion"/>
  </si>
  <si>
    <t>UI</t>
  </si>
  <si>
    <t>고객어플</t>
  </si>
  <si>
    <t>세탁소어플</t>
  </si>
  <si>
    <t>사진기능</t>
  </si>
  <si>
    <t>2.3.1.3.3</t>
  </si>
  <si>
    <t>시작일*</t>
    <phoneticPr fontId="1" type="noConversion"/>
  </si>
  <si>
    <t>완료일*</t>
    <phoneticPr fontId="1" type="noConversion"/>
  </si>
  <si>
    <t>Calendar</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</si>
  <si>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</si>
  <si>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</si>
  <si>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</si>
  <si>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</si>
  <si>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</si>
  <si>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</si>
  <si>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</si>
  <si>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</si>
  <si>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가중치</t>
    <phoneticPr fontId="1" type="noConversion"/>
  </si>
  <si>
    <t>담당</t>
    <phoneticPr fontId="1" type="noConversion"/>
  </si>
  <si>
    <t>산출물</t>
    <phoneticPr fontId="1" type="noConversion"/>
  </si>
  <si>
    <t>계획</t>
    <phoneticPr fontId="1" type="noConversion"/>
  </si>
  <si>
    <t>실적*</t>
    <phoneticPr fontId="1" type="noConversion"/>
  </si>
  <si>
    <t>프로젝트 진행율 - 일정변경 관리하지 않을때</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</si>
  <si>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</si>
  <si>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</si>
  <si>
    <t>2.3.1.4</t>
  </si>
  <si>
    <t>2.3.1.4.1</t>
  </si>
  <si>
    <t>2.3.1.4.2</t>
  </si>
  <si>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</si>
  <si>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</si>
  <si>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</si>
  <si>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wbs_level</t>
    <phoneticPr fontId="1" type="noConversion"/>
  </si>
  <si>
    <t>WBS</t>
    <phoneticPr fontId="1" type="noConversion"/>
  </si>
  <si>
    <t>작업*</t>
    <phoneticPr fontId="1" type="noConversion"/>
  </si>
  <si>
    <t>비고</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</si>
</sst>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11"/>
      <name val="Arial Narrow"/>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6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0" xfId="0" applyFont="1" applyBorder="1" applyAlignment="1">
      <alignment horizontal="left" vertical="top"/>
    </xf>
    <xf numFmtId="0" fontId="2" fillId="0" borderId="0" xfId="0" applyFont="1" applyFill="1" applyBorder="1" applyAlignment="1">
      <alignment horizontal="left" vertical="top"/>
    </xf>
    <xf numFmtId="0" fontId="2" fillId="0" borderId="0" xfId="0" applyFont="1" applyBorder="1" applyAlignment="1">
      <alignment vertical="top"/>
    </xf>
    <xf numFmtId="0" fontId="2" fillId="0" borderId="0" xfId="0" applyFont="1" applyFill="1" applyBorder="1" applyAlignment="1">
      <alignment vertical="top"/>
    </xf>
    <xf numFmtId="14" fontId="2" fillId="0" borderId="0" xfId="0" applyNumberFormat="1" applyFont="1" applyFill="1" applyBorder="1" applyAlignment="1">
      <alignment horizontal="left" vertical="top"/>
    </xf>
    <xf numFmtId="22" fontId="2" fillId="0" borderId="0" xfId="0" applyNumberFormat="1" applyFont="1" applyFill="1" applyBorder="1" applyAlignment="1">
      <alignment horizontal="left" vertical="top"/>
    </xf>
    <xf numFmtId="0" fontId="2" fillId="0" borderId="15" xfId="0" applyFont="1" applyFill="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Fill="1" applyBorder="1" applyAlignment="1">
      <alignment horizontal="left" vertical="top"/>
    </xf>
    <xf numFmtId="14" fontId="2" fillId="0" borderId="0" xfId="0" applyNumberFormat="1" applyFont="1" applyBorder="1" applyAlignment="1">
      <alignment horizontal="left" vertical="top"/>
    </xf>
    <xf numFmtId="22" fontId="2" fillId="0" borderId="0" xfId="0" applyNumberFormat="1" applyFont="1" applyBorder="1" applyAlignment="1">
      <alignment horizontal="left" vertical="top"/>
    </xf>
    <xf numFmtId="0" fontId="2" fillId="9" borderId="0" xfId="0" applyFont="1" applyFill="1" applyBorder="1" applyAlignment="1">
      <alignment vertical="top"/>
    </xf>
    <xf numFmtId="0" fontId="2" fillId="9" borderId="19" xfId="0" applyFont="1" applyFill="1" applyBorder="1" applyAlignment="1">
      <alignment vertical="top"/>
    </xf>
    <xf numFmtId="0" fontId="2" fillId="0" borderId="20" xfId="0" applyFont="1" applyFill="1" applyBorder="1" applyAlignment="1">
      <alignment horizontal="left" vertical="top"/>
    </xf>
    <xf numFmtId="14" fontId="2" fillId="0" borderId="21" xfId="0" applyNumberFormat="1" applyFont="1" applyFill="1" applyBorder="1" applyAlignment="1">
      <alignment horizontal="left" vertical="top"/>
    </xf>
    <xf numFmtId="0" fontId="2" fillId="0" borderId="21" xfId="0" applyFont="1" applyFill="1" applyBorder="1" applyAlignment="1">
      <alignment horizontal="left" vertical="top"/>
    </xf>
    <xf numFmtId="22" fontId="2" fillId="0" borderId="21" xfId="0" applyNumberFormat="1" applyFont="1" applyFill="1" applyBorder="1" applyAlignment="1">
      <alignment horizontal="left" vertical="top"/>
    </xf>
    <xf numFmtId="0" fontId="2" fillId="0" borderId="21" xfId="0" applyFont="1" applyFill="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0" fontId="2" fillId="0" borderId="0" xfId="0" applyNumberFormat="1" applyFont="1" applyAlignment="1">
      <alignment horizontal="lef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Border="1" applyAlignment="1">
      <alignment horizontal="left" vertical="top"/>
    </xf>
    <xf numFmtId="0" fontId="11" fillId="2" borderId="0" xfId="2" applyFont="1" applyFill="1" applyBorder="1" applyAlignment="1">
      <alignment horizontal="left" vertical="top"/>
    </xf>
    <xf numFmtId="0" fontId="12" fillId="2" borderId="0" xfId="2" applyFont="1" applyFill="1" applyBorder="1" applyAlignment="1">
      <alignment horizontal="left" vertical="center"/>
    </xf>
    <xf numFmtId="0" fontId="12" fillId="2" borderId="0" xfId="2" applyFont="1" applyFill="1" applyBorder="1" applyAlignment="1">
      <alignment vertical="center"/>
    </xf>
    <xf numFmtId="14" fontId="13" fillId="2" borderId="0" xfId="2" applyNumberFormat="1" applyFont="1" applyFill="1" applyBorder="1" applyAlignment="1">
      <alignment vertical="top"/>
    </xf>
    <xf numFmtId="0" fontId="14" fillId="2" borderId="0" xfId="2" applyNumberFormat="1" applyFont="1" applyFill="1" applyBorder="1" applyAlignment="1">
      <alignment horizontal="left" vertical="top"/>
    </xf>
    <xf numFmtId="0" fontId="15" fillId="2" borderId="0" xfId="2" applyFont="1" applyFill="1" applyBorder="1" applyAlignment="1">
      <alignment horizontal="center" vertical="top"/>
    </xf>
    <xf numFmtId="0" fontId="10" fillId="2" borderId="0" xfId="2" applyFont="1" applyFill="1" applyBorder="1" applyAlignment="1">
      <alignment horizontal="center" vertical="top"/>
    </xf>
    <xf numFmtId="0" fontId="13" fillId="2" borderId="0" xfId="2" applyNumberFormat="1" applyFont="1" applyFill="1" applyBorder="1" applyAlignment="1">
      <alignment horizontal="center" vertical="top"/>
    </xf>
    <xf numFmtId="14" fontId="13" fillId="2" borderId="0" xfId="2" applyNumberFormat="1" applyFont="1" applyFill="1" applyBorder="1" applyAlignment="1">
      <alignment horizontal="center" vertical="top"/>
    </xf>
    <xf numFmtId="1" fontId="13" fillId="2" borderId="0" xfId="2" applyNumberFormat="1" applyFont="1" applyFill="1" applyBorder="1" applyAlignment="1">
      <alignment horizontal="center" vertical="top"/>
    </xf>
    <xf numFmtId="0" fontId="15" fillId="2" borderId="0" xfId="4" applyFont="1" applyFill="1" applyBorder="1" applyAlignment="1">
      <alignment vertical="top" wrapText="1"/>
    </xf>
    <xf numFmtId="0" fontId="15" fillId="2" borderId="0" xfId="4" applyNumberFormat="1" applyFont="1" applyFill="1" applyBorder="1" applyAlignment="1">
      <alignment vertical="top"/>
    </xf>
    <xf numFmtId="0" fontId="15" fillId="2" borderId="0" xfId="4" applyFont="1" applyFill="1" applyBorder="1" applyAlignment="1">
      <alignment vertical="top"/>
    </xf>
    <xf numFmtId="0" fontId="17" fillId="2" borderId="0" xfId="4" applyFont="1" applyFill="1" applyBorder="1" applyAlignment="1">
      <alignment horizontal="right" vertical="top"/>
    </xf>
    <xf numFmtId="0" fontId="17" fillId="2" borderId="0" xfId="4" applyFont="1" applyFill="1" applyBorder="1" applyAlignment="1">
      <alignment horizontal="right" vertical="center"/>
    </xf>
    <xf numFmtId="0" fontId="20" fillId="2" borderId="0" xfId="4" applyNumberFormat="1" applyFont="1" applyFill="1" applyBorder="1" applyAlignment="1">
      <alignment vertical="top"/>
    </xf>
    <xf numFmtId="0" fontId="18" fillId="2" borderId="0" xfId="4" applyNumberFormat="1" applyFont="1" applyFill="1" applyBorder="1" applyAlignment="1">
      <alignment horizontal="right" vertical="top"/>
    </xf>
    <xf numFmtId="0" fontId="21" fillId="2" borderId="0" xfId="4" applyNumberFormat="1" applyFont="1" applyFill="1" applyBorder="1" applyAlignment="1">
      <alignment horizontal="right" vertical="center"/>
    </xf>
    <xf numFmtId="0" fontId="9" fillId="0" borderId="3" xfId="0" applyFont="1" applyFill="1" applyBorder="1" applyAlignment="1" applyProtection="1">
      <alignment horizontal="left" vertical="center"/>
      <protection locked="0"/>
    </xf>
    <xf numFmtId="0" fontId="19" fillId="0" borderId="2" xfId="0" applyFont="1" applyFill="1" applyBorder="1" applyAlignment="1" applyProtection="1">
      <alignment vertical="top"/>
      <protection locked="0"/>
    </xf>
    <xf numFmtId="0" fontId="9" fillId="0" borderId="2" xfId="0" applyFont="1" applyFill="1" applyBorder="1" applyAlignment="1" applyProtection="1">
      <alignment horizontal="left" vertical="top"/>
      <protection locked="0"/>
    </xf>
    <xf numFmtId="14"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left" vertical="top"/>
      <protection locked="0"/>
    </xf>
    <xf numFmtId="176" fontId="9" fillId="0" borderId="2" xfId="0" applyNumberFormat="1" applyFont="1" applyFill="1" applyBorder="1" applyAlignment="1" applyProtection="1">
      <alignment horizontal="center" vertical="top"/>
      <protection locked="0"/>
    </xf>
    <xf numFmtId="0" fontId="9" fillId="0" borderId="2" xfId="0" applyNumberFormat="1" applyFont="1" applyFill="1" applyBorder="1" applyAlignment="1" applyProtection="1">
      <alignment horizontal="center" vertical="top"/>
      <protection locked="0"/>
    </xf>
    <xf numFmtId="179" fontId="9" fillId="0" borderId="2" xfId="0" applyNumberFormat="1" applyFont="1" applyFill="1" applyBorder="1" applyAlignment="1" applyProtection="1">
      <alignment horizontal="center" vertical="top"/>
      <protection locked="0"/>
    </xf>
    <xf numFmtId="1" fontId="9" fillId="0" borderId="2" xfId="0" applyNumberFormat="1" applyFont="1" applyFill="1" applyBorder="1" applyAlignment="1" applyProtection="1">
      <alignment horizontal="center" vertical="top"/>
      <protection locked="0"/>
    </xf>
    <xf numFmtId="177" fontId="9" fillId="0" borderId="2" xfId="0" applyNumberFormat="1" applyFont="1" applyFill="1" applyBorder="1" applyAlignment="1" applyProtection="1">
      <alignment horizontal="center" vertical="top"/>
      <protection locked="0"/>
    </xf>
    <xf numFmtId="14" fontId="9" fillId="0" borderId="2" xfId="0" applyNumberFormat="1" applyFont="1" applyFill="1" applyBorder="1" applyAlignment="1" applyProtection="1">
      <alignment horizontal="left" vertical="top"/>
      <protection locked="0"/>
    </xf>
    <xf numFmtId="10" fontId="9" fillId="0" borderId="2" xfId="1" applyNumberFormat="1" applyFont="1" applyFill="1" applyBorder="1" applyAlignment="1" applyProtection="1">
      <alignment horizontal="right" vertical="top" wrapText="1"/>
      <protection locked="0"/>
    </xf>
    <xf numFmtId="14" fontId="22" fillId="2" borderId="0" xfId="0" applyNumberFormat="1" applyFont="1" applyFill="1" applyBorder="1" applyAlignment="1" applyProtection="1">
      <alignment vertical="center"/>
    </xf>
    <xf numFmtId="0" fontId="22" fillId="2" borderId="0" xfId="0" applyFont="1" applyFill="1" applyBorder="1" applyProtection="1"/>
    <xf numFmtId="176" fontId="27" fillId="2" borderId="0" xfId="0" applyNumberFormat="1" applyFont="1" applyFill="1" applyBorder="1" applyAlignment="1" applyProtection="1">
      <alignment vertical="center"/>
      <protection locked="0"/>
    </xf>
    <xf numFmtId="14" fontId="26" fillId="2" borderId="0" xfId="0" applyNumberFormat="1" applyFont="1" applyFill="1" applyBorder="1" applyAlignment="1" applyProtection="1">
      <alignment vertical="center"/>
    </xf>
    <xf numFmtId="14" fontId="22" fillId="0" borderId="10" xfId="0" applyNumberFormat="1" applyFont="1" applyFill="1" applyBorder="1" applyAlignment="1" applyProtection="1">
      <alignment vertical="top"/>
      <protection locked="0"/>
    </xf>
    <xf numFmtId="14" fontId="22" fillId="0" borderId="10" xfId="0" applyNumberFormat="1" applyFont="1" applyFill="1" applyBorder="1" applyAlignment="1" applyProtection="1">
      <alignment vertical="center"/>
      <protection locked="0"/>
    </xf>
    <xf numFmtId="0" fontId="22" fillId="0" borderId="10" xfId="0" applyFont="1" applyFill="1" applyBorder="1" applyAlignment="1" applyProtection="1">
      <alignment vertical="top"/>
      <protection locked="0"/>
    </xf>
    <xf numFmtId="0" fontId="22" fillId="0" borderId="0" xfId="0" applyFont="1" applyFill="1" applyBorder="1" applyAlignment="1" applyProtection="1">
      <alignment vertical="top"/>
      <protection locked="0"/>
    </xf>
    <xf numFmtId="14" fontId="28" fillId="0" borderId="0" xfId="0" applyNumberFormat="1" applyFont="1" applyFill="1" applyBorder="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Fill="1" applyBorder="1" applyAlignment="1" applyProtection="1">
      <alignment horizontal="right" vertical="top"/>
      <protection locked="0"/>
    </xf>
    <xf numFmtId="14" fontId="22" fillId="0" borderId="8" xfId="0" applyNumberFormat="1" applyFont="1" applyFill="1" applyBorder="1" applyAlignment="1" applyProtection="1">
      <alignment vertical="center"/>
      <protection locked="0"/>
    </xf>
    <xf numFmtId="0" fontId="22" fillId="0" borderId="8" xfId="0" applyFont="1" applyFill="1" applyBorder="1" applyAlignment="1" applyProtection="1">
      <alignment vertical="top"/>
      <protection locked="0"/>
    </xf>
    <xf numFmtId="14" fontId="28" fillId="0" borderId="0" xfId="0" applyNumberFormat="1" applyFont="1" applyFill="1" applyBorder="1" applyAlignment="1" applyProtection="1">
      <alignment vertical="top"/>
      <protection locked="0"/>
    </xf>
    <xf numFmtId="14" fontId="22" fillId="0" borderId="0" xfId="0" applyNumberFormat="1" applyFont="1" applyFill="1" applyBorder="1" applyAlignment="1" applyProtection="1">
      <alignment vertical="center"/>
      <protection locked="0"/>
    </xf>
    <xf numFmtId="14" fontId="22" fillId="0" borderId="0" xfId="0" applyNumberFormat="1" applyFont="1" applyFill="1" applyBorder="1" applyAlignment="1" applyProtection="1">
      <alignment vertical="top"/>
      <protection locked="0"/>
    </xf>
    <xf numFmtId="14" fontId="28" fillId="0" borderId="8" xfId="0" applyNumberFormat="1" applyFont="1" applyFill="1" applyBorder="1" applyAlignment="1" applyProtection="1">
      <alignment vertical="top"/>
      <protection locked="0"/>
    </xf>
    <xf numFmtId="14" fontId="28" fillId="0" borderId="9" xfId="0" applyNumberFormat="1" applyFont="1" applyFill="1" applyBorder="1" applyAlignment="1" applyProtection="1">
      <alignment vertical="center" wrapText="1"/>
      <protection locked="0"/>
    </xf>
    <xf numFmtId="14" fontId="28" fillId="0" borderId="0" xfId="0" applyNumberFormat="1" applyFont="1" applyFill="1" applyBorder="1" applyAlignment="1" applyProtection="1">
      <alignment horizontal="right" vertical="center" wrapText="1"/>
      <protection locked="0"/>
    </xf>
    <xf numFmtId="14" fontId="28" fillId="0" borderId="8" xfId="0" applyNumberFormat="1" applyFont="1" applyFill="1" applyBorder="1" applyAlignment="1" applyProtection="1">
      <alignment vertical="center" wrapText="1"/>
      <protection locked="0"/>
    </xf>
    <xf numFmtId="0" fontId="22" fillId="0" borderId="8" xfId="0" applyFont="1" applyFill="1" applyBorder="1" applyProtection="1">
      <protection locked="0"/>
    </xf>
    <xf numFmtId="0" fontId="22" fillId="0" borderId="0" xfId="0" applyFont="1" applyFill="1" applyBorder="1" applyProtection="1">
      <protection locked="0"/>
    </xf>
    <xf numFmtId="14" fontId="22" fillId="0" borderId="0" xfId="0" applyNumberFormat="1" applyFont="1" applyFill="1" applyBorder="1" applyProtection="1">
      <protection locked="0"/>
    </xf>
    <xf numFmtId="14" fontId="22" fillId="0" borderId="9" xfId="0" applyNumberFormat="1" applyFont="1" applyFill="1" applyBorder="1" applyAlignment="1" applyProtection="1">
      <alignment vertical="center"/>
      <protection locked="0"/>
    </xf>
    <xf numFmtId="0" fontId="22" fillId="0" borderId="9" xfId="0" applyFont="1" applyFill="1" applyBorder="1" applyProtection="1">
      <protection locked="0"/>
    </xf>
    <xf numFmtId="14" fontId="22" fillId="0" borderId="7" xfId="0" applyNumberFormat="1" applyFont="1" applyFill="1" applyBorder="1" applyAlignment="1" applyProtection="1">
      <alignment vertical="center"/>
      <protection locked="0"/>
    </xf>
    <xf numFmtId="0" fontId="22" fillId="0" borderId="7" xfId="0" applyFont="1" applyFill="1" applyBorder="1" applyAlignment="1" applyProtection="1">
      <alignment vertical="top"/>
      <protection locked="0"/>
    </xf>
    <xf numFmtId="14" fontId="28" fillId="0" borderId="9" xfId="0" applyNumberFormat="1" applyFont="1" applyFill="1" applyBorder="1" applyProtection="1">
      <protection locked="0"/>
    </xf>
    <xf numFmtId="10" fontId="22" fillId="8" borderId="1" xfId="1" applyNumberFormat="1" applyFont="1" applyFill="1" applyBorder="1" applyAlignment="1" applyProtection="1">
      <alignment vertical="center"/>
      <protection locked="0"/>
    </xf>
    <xf numFmtId="14" fontId="28" fillId="0" borderId="7" xfId="0" applyNumberFormat="1" applyFont="1" applyFill="1" applyBorder="1" applyAlignment="1" applyProtection="1">
      <alignment horizontal="right" vertical="top"/>
      <protection locked="0"/>
    </xf>
    <xf numFmtId="14" fontId="28" fillId="0" borderId="10" xfId="0" applyNumberFormat="1" applyFont="1" applyFill="1" applyBorder="1" applyAlignment="1" applyProtection="1">
      <alignment horizontal="right" vertical="top"/>
      <protection locked="0"/>
    </xf>
    <xf numFmtId="14" fontId="28" fillId="0" borderId="11" xfId="0" applyNumberFormat="1" applyFont="1" applyFill="1" applyBorder="1" applyAlignment="1" applyProtection="1">
      <alignment horizontal="right" vertical="top"/>
      <protection locked="0"/>
    </xf>
    <xf numFmtId="14" fontId="22" fillId="0" borderId="11" xfId="0" applyNumberFormat="1" applyFont="1" applyFill="1" applyBorder="1" applyAlignment="1" applyProtection="1">
      <alignment vertical="center"/>
      <protection locked="0"/>
    </xf>
    <xf numFmtId="0" fontId="22" fillId="0" borderId="11" xfId="0" applyFont="1" applyFill="1" applyBorder="1" applyAlignment="1" applyProtection="1">
      <alignment vertical="top"/>
      <protection locked="0"/>
    </xf>
    <xf numFmtId="14" fontId="28" fillId="0" borderId="12" xfId="0" applyNumberFormat="1" applyFont="1" applyFill="1" applyBorder="1" applyAlignment="1" applyProtection="1">
      <alignment vertical="top"/>
      <protection locked="0"/>
    </xf>
    <xf numFmtId="14" fontId="22" fillId="0" borderId="12" xfId="0" applyNumberFormat="1" applyFont="1" applyFill="1" applyBorder="1" applyAlignment="1" applyProtection="1">
      <alignment vertical="center"/>
      <protection locked="0"/>
    </xf>
    <xf numFmtId="0" fontId="22" fillId="0" borderId="12" xfId="0" applyFont="1" applyFill="1" applyBorder="1" applyAlignment="1" applyProtection="1">
      <alignment vertical="top"/>
      <protection locked="0"/>
    </xf>
    <xf numFmtId="10" fontId="22" fillId="8" borderId="1" xfId="1" applyNumberFormat="1" applyFont="1" applyFill="1" applyBorder="1" applyAlignment="1" applyProtection="1">
      <alignment vertical="center"/>
    </xf>
    <xf numFmtId="14" fontId="22" fillId="0" borderId="13" xfId="0" applyNumberFormat="1" applyFont="1" applyFill="1" applyBorder="1" applyAlignment="1" applyProtection="1">
      <alignment horizontal="right" vertical="top"/>
      <protection locked="0"/>
    </xf>
    <xf numFmtId="14" fontId="22" fillId="0" borderId="13" xfId="0" applyNumberFormat="1" applyFont="1" applyFill="1" applyBorder="1" applyAlignment="1" applyProtection="1">
      <alignment vertical="center"/>
      <protection locked="0"/>
    </xf>
    <xf numFmtId="0" fontId="22" fillId="0" borderId="13" xfId="0" applyFont="1" applyFill="1" applyBorder="1" applyAlignment="1" applyProtection="1">
      <alignment vertical="top"/>
      <protection locked="0"/>
    </xf>
    <xf numFmtId="14" fontId="25" fillId="0" borderId="0" xfId="0" applyNumberFormat="1" applyFont="1" applyFill="1" applyBorder="1" applyAlignment="1" applyProtection="1">
      <alignment vertical="top"/>
      <protection locked="0"/>
    </xf>
    <xf numFmtId="14" fontId="25" fillId="0" borderId="0" xfId="0" applyNumberFormat="1" applyFont="1" applyFill="1" applyBorder="1" applyAlignment="1" applyProtection="1">
      <alignment vertical="center"/>
      <protection locked="0"/>
    </xf>
    <xf numFmtId="0" fontId="25" fillId="0" borderId="0" xfId="0" applyFont="1" applyFill="1" applyBorder="1" applyAlignment="1" applyProtection="1">
      <alignment vertical="top"/>
      <protection locked="0"/>
    </xf>
    <xf numFmtId="14" fontId="25" fillId="0" borderId="0" xfId="0" applyNumberFormat="1" applyFont="1" applyFill="1" applyBorder="1" applyProtection="1">
      <protection locked="0"/>
    </xf>
    <xf numFmtId="0" fontId="25" fillId="0" borderId="0" xfId="0" applyFont="1" applyFill="1" applyBorder="1" applyProtection="1">
      <protection locked="0"/>
    </xf>
    <xf numFmtId="1" fontId="25" fillId="0" borderId="0" xfId="0" applyNumberFormat="1" applyFont="1" applyFill="1" applyBorder="1" applyAlignment="1" applyProtection="1">
      <alignment vertical="center"/>
      <protection locked="0"/>
    </xf>
    <xf numFmtId="14" fontId="24" fillId="0" borderId="0" xfId="0" applyNumberFormat="1" applyFont="1" applyFill="1" applyBorder="1" applyAlignment="1" applyProtection="1">
      <alignment vertical="center"/>
    </xf>
    <xf numFmtId="14" fontId="25" fillId="0" borderId="0" xfId="0" applyNumberFormat="1" applyFont="1" applyFill="1" applyBorder="1" applyAlignment="1" applyProtection="1">
      <alignment vertical="center"/>
    </xf>
    <xf numFmtId="0" fontId="29" fillId="0" borderId="0" xfId="5" applyFont="1" applyFill="1" applyBorder="1" applyAlignment="1">
      <alignment horizontal="left" vertical="top" wrapText="1"/>
    </xf>
    <xf numFmtId="0" fontId="22" fillId="0" borderId="0" xfId="5" applyFont="1" applyFill="1" applyBorder="1" applyAlignment="1">
      <alignment horizontal="left" vertical="top" wrapText="1"/>
    </xf>
    <xf numFmtId="0" fontId="29" fillId="9" borderId="0" xfId="5" applyFont="1" applyFill="1" applyBorder="1" applyAlignment="1">
      <alignment horizontal="left" vertical="top" wrapText="1"/>
    </xf>
    <xf numFmtId="178" fontId="25" fillId="0" borderId="0" xfId="1" applyNumberFormat="1" applyFont="1" applyFill="1" applyBorder="1" applyAlignment="1" applyProtection="1">
      <alignment vertical="center"/>
      <protection locked="0"/>
    </xf>
    <xf numFmtId="0" fontId="22" fillId="0" borderId="10" xfId="0" applyFont="1" applyFill="1" applyBorder="1" applyAlignment="1" applyProtection="1">
      <alignment vertical="center" wrapText="1"/>
      <protection locked="0"/>
    </xf>
    <xf numFmtId="0" fontId="22" fillId="0" borderId="10" xfId="0" applyFont="1" applyFill="1" applyBorder="1" applyAlignment="1" applyProtection="1">
      <alignment vertical="center"/>
      <protection locked="0"/>
    </xf>
    <xf numFmtId="0" fontId="22" fillId="0" borderId="8" xfId="0" applyFont="1" applyFill="1" applyBorder="1" applyAlignment="1" applyProtection="1">
      <alignment vertical="center"/>
      <protection locked="0"/>
    </xf>
    <xf numFmtId="0" fontId="22" fillId="0" borderId="9" xfId="0" applyFont="1" applyFill="1" applyBorder="1" applyAlignment="1" applyProtection="1">
      <alignment vertical="center" wrapText="1"/>
      <protection locked="0"/>
    </xf>
    <xf numFmtId="0" fontId="22" fillId="0" borderId="8" xfId="0" applyFont="1" applyFill="1" applyBorder="1" applyAlignment="1" applyProtection="1">
      <alignment vertical="center" wrapText="1"/>
      <protection locked="0"/>
    </xf>
    <xf numFmtId="0" fontId="22" fillId="0" borderId="9" xfId="0" applyFont="1" applyFill="1" applyBorder="1" applyAlignment="1" applyProtection="1">
      <alignment vertical="center"/>
      <protection locked="0"/>
    </xf>
    <xf numFmtId="0" fontId="22" fillId="0" borderId="13" xfId="0" applyFont="1" applyFill="1" applyBorder="1" applyAlignment="1" applyProtection="1">
      <alignment vertical="center"/>
      <protection locked="0"/>
    </xf>
    <xf numFmtId="176" fontId="25" fillId="0" borderId="0" xfId="0" applyNumberFormat="1" applyFont="1" applyFill="1" applyBorder="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Font="1" applyAlignment="1">
      <alignment vertical="top"/>
    </xf>
    <xf numFmtId="0" fontId="16" fillId="2" borderId="0" xfId="2" applyFont="1" applyFill="1" applyBorder="1" applyAlignment="1">
      <alignment horizontal="left" vertical="center"/>
    </xf>
    <xf numFmtId="0" fontId="30" fillId="0" borderId="0" xfId="0" applyFont="1" applyFill="1" applyBorder="1" applyProtection="1">
      <protection locked="0"/>
    </xf>
    <xf numFmtId="14" fontId="30" fillId="0" borderId="0" xfId="0" applyNumberFormat="1" applyFont="1" applyFill="1" applyBorder="1" applyAlignment="1" applyProtection="1">
      <alignment horizontal="center"/>
      <protection locked="0"/>
    </xf>
    <xf numFmtId="14" fontId="30" fillId="0" borderId="0" xfId="0" applyNumberFormat="1" applyFont="1" applyFill="1" applyBorder="1" applyProtection="1">
      <protection locked="0"/>
    </xf>
    <xf numFmtId="0" fontId="30" fillId="0" borderId="0" xfId="0" applyNumberFormat="1" applyFont="1" applyFill="1" applyBorder="1" applyAlignment="1" applyProtection="1">
      <alignment horizontal="left"/>
      <protection locked="0"/>
    </xf>
    <xf numFmtId="0" fontId="30" fillId="0" borderId="0" xfId="0" applyNumberFormat="1" applyFont="1" applyFill="1" applyBorder="1" applyAlignment="1" applyProtection="1">
      <alignment horizontal="right"/>
      <protection locked="0"/>
    </xf>
    <xf numFmtId="0" fontId="30" fillId="0" borderId="0" xfId="0" applyNumberFormat="1" applyFont="1" applyFill="1" applyBorder="1" applyAlignment="1" applyProtection="1">
      <alignment horizontal="center"/>
      <protection locked="0"/>
    </xf>
    <xf numFmtId="0" fontId="30" fillId="0" borderId="0" xfId="0" applyFont="1" applyFill="1" applyBorder="1" applyAlignment="1" applyProtection="1">
      <alignment horizontal="center"/>
      <protection locked="0"/>
    </xf>
    <xf numFmtId="14" fontId="30" fillId="0" borderId="0" xfId="0" applyNumberFormat="1" applyFont="1" applyFill="1" applyBorder="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Fill="1" applyBorder="1" applyAlignment="1">
      <alignment vertical="center"/>
    </xf>
    <xf numFmtId="0" fontId="23" fillId="0" borderId="0" xfId="2" applyFont="1" applyFill="1" applyBorder="1" applyAlignment="1">
      <alignment vertical="center"/>
    </xf>
    <xf numFmtId="0" fontId="21" fillId="0" borderId="0" xfId="2" applyFont="1" applyFill="1" applyBorder="1" applyAlignment="1">
      <alignment vertical="center"/>
    </xf>
    <xf numFmtId="14" fontId="25" fillId="0" borderId="0" xfId="0" applyNumberFormat="1" applyFont="1" applyFill="1" applyProtection="1"/>
    <xf numFmtId="14" fontId="25" fillId="2" borderId="0" xfId="0" applyNumberFormat="1" applyFont="1" applyFill="1" applyAlignment="1" applyProtection="1">
      <alignment vertical="top"/>
    </xf>
    <xf numFmtId="14" fontId="25" fillId="0" borderId="0" xfId="0" applyNumberFormat="1" applyFont="1" applyAlignment="1" applyProtection="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14" fontId="25" fillId="0" borderId="0" xfId="0" applyNumberFormat="1" applyFont="1" applyProtection="1"/>
    <xf numFmtId="0" fontId="31" fillId="0" borderId="0" xfId="0" applyFont="1"/>
    <xf numFmtId="14" fontId="25" fillId="0" borderId="23" xfId="0" applyNumberFormat="1" applyFont="1" applyBorder="1" applyProtection="1"/>
    <xf numFmtId="14" fontId="22" fillId="2" borderId="0" xfId="0" quotePrefix="1" applyNumberFormat="1" applyFont="1" applyFill="1" applyBorder="1" applyProtection="1"/>
    <xf numFmtId="14" fontId="33" fillId="6" borderId="23" xfId="0" applyNumberFormat="1" applyFont="1" applyFill="1" applyBorder="1" applyAlignment="1" applyProtection="1">
      <alignment horizontal="center" vertical="center"/>
    </xf>
    <xf numFmtId="14" fontId="9" fillId="0" borderId="14" xfId="0" applyNumberFormat="1" applyFont="1" applyFill="1" applyBorder="1" applyAlignment="1" applyProtection="1">
      <alignment horizontal="center" vertical="top"/>
      <protection locked="0"/>
    </xf>
    <xf numFmtId="0" fontId="9" fillId="0" borderId="2" xfId="0" applyFont="1" applyFill="1" applyBorder="1" applyAlignment="1" applyProtection="1">
      <alignment horizontal="right" vertical="top"/>
      <protection locked="0"/>
    </xf>
    <xf numFmtId="10" fontId="9" fillId="0" borderId="2" xfId="1" applyNumberFormat="1" applyFont="1" applyFill="1" applyBorder="1" applyAlignment="1" applyProtection="1">
      <alignment horizontal="right" vertical="top"/>
      <protection locked="0"/>
    </xf>
    <xf numFmtId="10" fontId="21" fillId="2" borderId="0" xfId="1" applyNumberFormat="1" applyFont="1" applyFill="1" applyBorder="1" applyAlignment="1">
      <alignment horizontal="right" vertical="center"/>
    </xf>
    <xf numFmtId="0" fontId="35" fillId="6" borderId="6" xfId="0" applyFont="1" applyFill="1" applyBorder="1" applyAlignment="1">
      <alignment horizontal="center" vertical="center" wrapText="1"/>
    </xf>
    <xf numFmtId="0" fontId="34" fillId="0" borderId="0" xfId="5" applyFont="1" applyFill="1" applyBorder="1" applyAlignment="1">
      <alignment horizontal="left" vertical="top" wrapText="1"/>
    </xf>
    <xf numFmtId="0" fontId="29" fillId="0" borderId="0" xfId="5" applyNumberFormat="1" applyFont="1" applyFill="1" applyBorder="1" applyAlignment="1">
      <alignment horizontal="left" vertical="top" wrapText="1"/>
    </xf>
    <xf numFmtId="14" fontId="29" fillId="0" borderId="0" xfId="5" applyNumberFormat="1" applyFont="1" applyFill="1" applyBorder="1" applyAlignment="1">
      <alignment horizontal="left" vertical="top" wrapText="1"/>
    </xf>
    <xf numFmtId="0" fontId="2" fillId="8" borderId="0" xfId="0" quotePrefix="1" applyFont="1" applyFill="1" applyAlignment="1">
      <alignment horizontal="left" vertical="top"/>
    </xf>
    <xf numFmtId="14" fontId="25" fillId="0" borderId="23" xfId="0" applyNumberFormat="1" applyFont="1" applyFill="1" applyBorder="1" applyProtection="1">
      <protection locked="0"/>
    </xf>
    <xf numFmtId="0" fontId="25" fillId="10" borderId="4" xfId="0" applyFont="1" applyFill="1" applyBorder="1" applyAlignment="1">
      <alignment horizontal="left" wrapText="1"/>
    </xf>
    <xf numFmtId="0" fontId="9" fillId="0" borderId="4" xfId="0" applyFont="1" applyFill="1" applyBorder="1" applyAlignment="1" applyProtection="1">
      <alignment horizontal="left" vertical="center"/>
    </xf>
    <xf numFmtId="0" fontId="19" fillId="0" borderId="24" xfId="0" applyFont="1" applyFill="1" applyBorder="1" applyAlignment="1" applyProtection="1">
      <alignment vertical="top"/>
      <protection locked="0"/>
    </xf>
    <xf numFmtId="0" fontId="9" fillId="0" borderId="24" xfId="0" applyFont="1" applyFill="1" applyBorder="1" applyAlignment="1" applyProtection="1">
      <alignment horizontal="right" vertical="top"/>
      <protection locked="0"/>
    </xf>
    <xf numFmtId="0" fontId="9" fillId="0" borderId="24" xfId="0" applyFont="1" applyFill="1" applyBorder="1" applyAlignment="1" applyProtection="1">
      <alignment horizontal="left" vertical="top"/>
      <protection locked="0"/>
    </xf>
    <xf numFmtId="14"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left" vertical="top"/>
      <protection locked="0"/>
    </xf>
    <xf numFmtId="176" fontId="9" fillId="0" borderId="24" xfId="0" applyNumberFormat="1" applyFont="1" applyFill="1" applyBorder="1" applyAlignment="1" applyProtection="1">
      <alignment horizontal="center" vertical="top"/>
      <protection locked="0"/>
    </xf>
    <xf numFmtId="0" fontId="9" fillId="0" borderId="24" xfId="0" applyNumberFormat="1" applyFont="1" applyFill="1" applyBorder="1" applyAlignment="1" applyProtection="1">
      <alignment horizontal="center" vertical="top"/>
      <protection locked="0"/>
    </xf>
    <xf numFmtId="179" fontId="9" fillId="0" borderId="24" xfId="0" applyNumberFormat="1" applyFont="1" applyFill="1" applyBorder="1" applyAlignment="1" applyProtection="1">
      <alignment horizontal="center" vertical="top"/>
      <protection locked="0"/>
    </xf>
    <xf numFmtId="1" fontId="9" fillId="0" borderId="24" xfId="0" applyNumberFormat="1" applyFont="1" applyFill="1" applyBorder="1" applyAlignment="1" applyProtection="1">
      <alignment horizontal="center" vertical="top"/>
      <protection locked="0"/>
    </xf>
    <xf numFmtId="177" fontId="9" fillId="0" borderId="24" xfId="0" applyNumberFormat="1" applyFont="1" applyFill="1" applyBorder="1" applyAlignment="1" applyProtection="1">
      <alignment horizontal="center" vertical="top"/>
      <protection locked="0"/>
    </xf>
    <xf numFmtId="14" fontId="9" fillId="0" borderId="24" xfId="0" applyNumberFormat="1" applyFont="1" applyFill="1" applyBorder="1" applyAlignment="1" applyProtection="1">
      <alignment horizontal="left" vertical="top"/>
      <protection locked="0"/>
    </xf>
    <xf numFmtId="10" fontId="9" fillId="0" borderId="24" xfId="1" applyNumberFormat="1" applyFont="1" applyFill="1" applyBorder="1" applyAlignment="1" applyProtection="1">
      <alignment horizontal="right" vertical="top" wrapText="1"/>
      <protection locked="0"/>
    </xf>
    <xf numFmtId="10" fontId="9" fillId="0" borderId="24" xfId="1" applyNumberFormat="1" applyFont="1" applyFill="1" applyBorder="1" applyAlignment="1" applyProtection="1">
      <alignment horizontal="right" vertical="top"/>
      <protection locked="0"/>
    </xf>
    <xf numFmtId="0" fontId="19" fillId="0" borderId="14" xfId="0" applyFont="1" applyFill="1" applyBorder="1" applyAlignment="1" applyProtection="1">
      <alignment vertical="top"/>
      <protection locked="0"/>
    </xf>
    <xf numFmtId="0" fontId="9" fillId="0" borderId="14" xfId="0" applyFont="1" applyFill="1" applyBorder="1" applyAlignment="1" applyProtection="1">
      <alignment horizontal="left" vertical="top"/>
      <protection locked="0"/>
    </xf>
    <xf numFmtId="0" fontId="9" fillId="0" borderId="14" xfId="0" applyNumberFormat="1" applyFont="1" applyFill="1" applyBorder="1" applyAlignment="1" applyProtection="1">
      <alignment horizontal="left" vertical="top"/>
      <protection locked="0"/>
    </xf>
    <xf numFmtId="176" fontId="9" fillId="0" borderId="14" xfId="0" applyNumberFormat="1" applyFont="1" applyFill="1" applyBorder="1" applyAlignment="1" applyProtection="1">
      <alignment horizontal="center" vertical="top"/>
      <protection locked="0"/>
    </xf>
    <xf numFmtId="0" fontId="9" fillId="0" borderId="14" xfId="0" applyNumberFormat="1" applyFont="1" applyFill="1" applyBorder="1" applyAlignment="1" applyProtection="1">
      <alignment horizontal="center" vertical="top"/>
      <protection locked="0"/>
    </xf>
    <xf numFmtId="179" fontId="9" fillId="0" borderId="14" xfId="0" applyNumberFormat="1" applyFont="1" applyFill="1" applyBorder="1" applyAlignment="1" applyProtection="1">
      <alignment horizontal="center" vertical="top"/>
      <protection locked="0"/>
    </xf>
    <xf numFmtId="1" fontId="9" fillId="0" borderId="14" xfId="0" applyNumberFormat="1" applyFont="1" applyFill="1" applyBorder="1" applyAlignment="1" applyProtection="1">
      <alignment horizontal="center" vertical="top"/>
      <protection locked="0"/>
    </xf>
    <xf numFmtId="177" fontId="9" fillId="0" borderId="14" xfId="0" applyNumberFormat="1" applyFont="1" applyFill="1" applyBorder="1" applyAlignment="1" applyProtection="1">
      <alignment horizontal="center" vertical="top"/>
      <protection locked="0"/>
    </xf>
    <xf numFmtId="14" fontId="9" fillId="0" borderId="14" xfId="0" applyNumberFormat="1" applyFont="1" applyFill="1" applyBorder="1" applyAlignment="1" applyProtection="1">
      <alignment horizontal="left" vertical="top"/>
      <protection locked="0"/>
    </xf>
    <xf numFmtId="10" fontId="9" fillId="0" borderId="14" xfId="1" applyNumberFormat="1" applyFont="1" applyFill="1" applyBorder="1" applyAlignment="1" applyProtection="1">
      <alignment horizontal="right" vertical="top" wrapText="1"/>
      <protection locked="0"/>
    </xf>
    <xf numFmtId="10" fontId="9" fillId="0" borderId="14" xfId="1" applyNumberFormat="1" applyFont="1" applyFill="1" applyBorder="1" applyAlignment="1" applyProtection="1">
      <alignment horizontal="right" vertical="top"/>
      <protection locked="0"/>
    </xf>
    <xf numFmtId="0" fontId="9" fillId="0" borderId="14" xfId="0" quotePrefix="1" applyFont="1" applyFill="1" applyBorder="1" applyAlignment="1" applyProtection="1">
      <alignment horizontal="right" vertical="top"/>
      <protection locked="0"/>
    </xf>
    <xf numFmtId="0" fontId="9" fillId="0" borderId="14" xfId="0" applyFont="1" applyFill="1" applyBorder="1" applyAlignment="1" applyProtection="1">
      <alignment horizontal="right" vertical="top"/>
      <protection locked="0"/>
    </xf>
    <xf numFmtId="0" fontId="19" fillId="0" borderId="25" xfId="0" applyFont="1" applyFill="1" applyBorder="1" applyAlignment="1" applyProtection="1">
      <alignment vertical="top"/>
      <protection locked="0"/>
    </xf>
    <xf numFmtId="0" fontId="9" fillId="0" borderId="25" xfId="0" quotePrefix="1" applyFont="1" applyFill="1" applyBorder="1" applyAlignment="1" applyProtection="1">
      <alignment horizontal="right" vertical="top"/>
      <protection locked="0"/>
    </xf>
    <xf numFmtId="0" fontId="9" fillId="0" borderId="25" xfId="0" applyFont="1" applyFill="1" applyBorder="1" applyAlignment="1" applyProtection="1">
      <alignment horizontal="left" vertical="top"/>
      <protection locked="0"/>
    </xf>
    <xf numFmtId="14"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left" vertical="top"/>
      <protection locked="0"/>
    </xf>
    <xf numFmtId="176" fontId="9" fillId="0" borderId="25" xfId="0" applyNumberFormat="1" applyFont="1" applyFill="1" applyBorder="1" applyAlignment="1" applyProtection="1">
      <alignment horizontal="center" vertical="top"/>
      <protection locked="0"/>
    </xf>
    <xf numFmtId="0" fontId="9" fillId="0" borderId="25" xfId="0" applyNumberFormat="1" applyFont="1" applyFill="1" applyBorder="1" applyAlignment="1" applyProtection="1">
      <alignment horizontal="center" vertical="top"/>
      <protection locked="0"/>
    </xf>
    <xf numFmtId="179" fontId="9" fillId="0" borderId="25" xfId="0" applyNumberFormat="1" applyFont="1" applyFill="1" applyBorder="1" applyAlignment="1" applyProtection="1">
      <alignment horizontal="center" vertical="top"/>
      <protection locked="0"/>
    </xf>
    <xf numFmtId="1" fontId="9" fillId="0" borderId="25" xfId="0" applyNumberFormat="1" applyFont="1" applyFill="1" applyBorder="1" applyAlignment="1" applyProtection="1">
      <alignment horizontal="center" vertical="top"/>
      <protection locked="0"/>
    </xf>
    <xf numFmtId="177" fontId="9" fillId="0" borderId="25" xfId="0" applyNumberFormat="1" applyFont="1" applyFill="1" applyBorder="1" applyAlignment="1" applyProtection="1">
      <alignment horizontal="center" vertical="top"/>
      <protection locked="0"/>
    </xf>
    <xf numFmtId="14" fontId="9" fillId="0" borderId="25" xfId="0" applyNumberFormat="1" applyFont="1" applyFill="1" applyBorder="1" applyAlignment="1" applyProtection="1">
      <alignment horizontal="left" vertical="top"/>
      <protection locked="0"/>
    </xf>
    <xf numFmtId="10" fontId="9" fillId="0" borderId="25" xfId="1" applyNumberFormat="1" applyFont="1" applyFill="1" applyBorder="1" applyAlignment="1" applyProtection="1">
      <alignment horizontal="right" vertical="top" wrapText="1"/>
      <protection locked="0"/>
    </xf>
    <xf numFmtId="10" fontId="9" fillId="0" borderId="25" xfId="1" applyNumberFormat="1" applyFont="1" applyFill="1" applyBorder="1" applyAlignment="1" applyProtection="1">
      <alignment horizontal="right" vertical="top"/>
      <protection locked="0"/>
    </xf>
    <xf numFmtId="176" fontId="9" fillId="0" borderId="14" xfId="0" applyNumberFormat="1" applyFont="1" applyFill="1" applyBorder="1" applyAlignment="1" applyProtection="1">
      <alignment horizontal="left" vertical="top"/>
      <protection locked="0"/>
    </xf>
    <xf numFmtId="0" fontId="9" fillId="0" borderId="26" xfId="0" applyFont="1" applyFill="1" applyBorder="1" applyAlignment="1" applyProtection="1">
      <alignment horizontal="left" vertical="center"/>
      <protection locked="0"/>
    </xf>
    <xf numFmtId="0" fontId="9" fillId="0" borderId="28" xfId="0" applyFont="1" applyFill="1" applyBorder="1" applyAlignment="1" applyProtection="1">
      <alignment horizontal="left" vertical="center"/>
      <protection locked="0"/>
    </xf>
    <xf numFmtId="0" fontId="9" fillId="0" borderId="0" xfId="2" applyFont="1" applyFill="1" applyBorder="1" applyAlignment="1">
      <alignment horizontal="left" vertical="center"/>
    </xf>
    <xf numFmtId="0" fontId="9" fillId="0" borderId="6" xfId="0" applyFont="1" applyFill="1" applyBorder="1" applyAlignment="1" applyProtection="1">
      <alignment horizontal="left" vertical="center"/>
    </xf>
    <xf numFmtId="180" fontId="38" fillId="5" borderId="29" xfId="0" applyNumberFormat="1" applyFont="1" applyFill="1" applyBorder="1" applyAlignment="1" applyProtection="1">
      <alignment horizontal="center" vertical="center"/>
    </xf>
    <xf numFmtId="180" fontId="38" fillId="5" borderId="30" xfId="0" applyNumberFormat="1" applyFont="1" applyFill="1" applyBorder="1" applyAlignment="1" applyProtection="1">
      <alignment horizontal="center" vertical="center"/>
    </xf>
    <xf numFmtId="180" fontId="38" fillId="5" borderId="31" xfId="0" applyNumberFormat="1" applyFont="1" applyFill="1" applyBorder="1" applyAlignment="1" applyProtection="1">
      <alignment horizontal="center" vertical="center"/>
    </xf>
    <xf numFmtId="14" fontId="25" fillId="0" borderId="7" xfId="0" applyNumberFormat="1" applyFont="1" applyBorder="1"/>
    <xf numFmtId="0" fontId="25" fillId="0" borderId="7" xfId="0" applyFont="1" applyBorder="1"/>
    <xf numFmtId="0" fontId="9" fillId="0" borderId="28" xfId="0" applyFont="1" applyFill="1" applyBorder="1" applyAlignment="1" applyProtection="1">
      <alignment horizontal="right" vertical="center"/>
      <protection locked="0"/>
    </xf>
    <xf numFmtId="0" fontId="9" fillId="0" borderId="27" xfId="0" applyFont="1" applyFill="1" applyBorder="1" applyAlignment="1" applyProtection="1">
      <alignment horizontal="right" vertical="center"/>
      <protection locked="0"/>
    </xf>
    <xf numFmtId="0" fontId="25" fillId="0" borderId="0" xfId="0" applyFont="1" applyBorder="1"/>
    <xf numFmtId="0" fontId="39" fillId="0" borderId="14" xfId="0" applyFont="1" applyFill="1" applyBorder="1" applyAlignment="1" applyProtection="1">
      <alignment horizontal="left" vertical="top"/>
      <protection locked="0"/>
    </xf>
    <xf numFmtId="0" fontId="9" fillId="0" borderId="14" xfId="0" applyFont="1" applyFill="1" applyBorder="1" applyAlignment="1" applyProtection="1">
      <alignment horizontal="left" vertical="center"/>
      <protection locked="0"/>
    </xf>
    <xf numFmtId="14" fontId="39" fillId="0" borderId="14" xfId="0" applyNumberFormat="1" applyFont="1" applyFill="1" applyBorder="1" applyAlignment="1" applyProtection="1">
      <alignment horizontal="left" vertical="top"/>
      <protection locked="0"/>
    </xf>
    <xf numFmtId="0" fontId="25" fillId="0" borderId="1" xfId="0" applyFont="1" applyBorder="1"/>
    <xf numFmtId="0" fontId="40" fillId="0" borderId="7" xfId="0" applyFont="1" applyBorder="1"/>
    <xf numFmtId="2" fontId="25" fillId="0" borderId="0" xfId="0" applyNumberFormat="1" applyFont="1" applyBorder="1" applyAlignment="1">
      <alignment horizontal="right"/>
    </xf>
    <xf numFmtId="14" fontId="25" fillId="0" borderId="7" xfId="0" applyNumberFormat="1" applyFont="1" applyBorder="1" applyAlignment="1">
      <alignment horizontal="left"/>
    </xf>
    <xf numFmtId="2" fontId="25" fillId="0" borderId="7" xfId="0" applyNumberFormat="1" applyFont="1" applyBorder="1" applyAlignment="1">
      <alignment horizontal="right"/>
    </xf>
    <xf numFmtId="180" fontId="8" fillId="5" borderId="30" xfId="2" applyNumberFormat="1" applyFont="1" applyFill="1" applyBorder="1" applyAlignment="1">
      <alignment horizontal="center" vertical="center"/>
    </xf>
    <xf numFmtId="0" fontId="36" fillId="2" borderId="0" xfId="4" applyFont="1" applyFill="1" applyBorder="1" applyAlignment="1">
      <alignment horizontal="left" vertical="center"/>
    </xf>
    <xf numFmtId="0" fontId="8" fillId="6" borderId="6" xfId="0" applyFont="1" applyFill="1" applyBorder="1" applyAlignment="1" applyProtection="1">
      <alignment horizontal="center" vertical="center" wrapText="1"/>
    </xf>
    <xf numFmtId="0" fontId="8" fillId="6" borderId="4" xfId="0" applyFont="1" applyFill="1" applyBorder="1" applyAlignment="1" applyProtection="1">
      <alignment horizontal="center" vertical="center"/>
    </xf>
    <xf numFmtId="0" fontId="8" fillId="6" borderId="4"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8" fillId="6" borderId="5" xfId="0" applyFont="1" applyFill="1" applyBorder="1" applyAlignment="1" applyProtection="1">
      <alignment horizontal="center" vertical="center"/>
    </xf>
    <xf numFmtId="0" fontId="8" fillId="6" borderId="0" xfId="0" applyFont="1" applyFill="1" applyBorder="1" applyAlignment="1" applyProtection="1">
      <alignment horizontal="center" vertical="center"/>
    </xf>
    <xf numFmtId="10" fontId="8" fillId="5" borderId="4" xfId="1" applyNumberFormat="1" applyFont="1" applyFill="1" applyBorder="1" applyAlignment="1" applyProtection="1">
      <alignment horizontal="center" vertical="center" wrapText="1"/>
    </xf>
    <xf numFmtId="10" fontId="8" fillId="5" borderId="4" xfId="1" applyNumberFormat="1" applyFont="1" applyFill="1" applyBorder="1" applyAlignment="1" applyProtection="1">
      <alignment horizontal="center" vertical="center"/>
    </xf>
    <xf numFmtId="0" fontId="8" fillId="6" borderId="4" xfId="0" applyNumberFormat="1" applyFont="1" applyFill="1" applyBorder="1" applyAlignment="1" applyProtection="1">
      <alignment horizontal="center" vertical="center"/>
    </xf>
    <xf numFmtId="10" fontId="8" fillId="6" borderId="5" xfId="1" applyNumberFormat="1" applyFont="1" applyFill="1" applyBorder="1" applyAlignment="1" applyProtection="1">
      <alignment horizontal="center" vertical="center" wrapText="1"/>
    </xf>
    <xf numFmtId="10" fontId="8" fillId="6" borderId="5" xfId="1" applyNumberFormat="1" applyFont="1" applyFill="1" applyBorder="1" applyAlignment="1" applyProtection="1">
      <alignment horizontal="center" vertical="center"/>
    </xf>
    <xf numFmtId="14" fontId="21" fillId="2" borderId="0" xfId="1" applyNumberFormat="1" applyFont="1" applyFill="1" applyBorder="1" applyAlignment="1">
      <alignment horizontal="center" vertical="center" wrapText="1"/>
    </xf>
    <xf numFmtId="1" fontId="8" fillId="5" borderId="4" xfId="0" applyNumberFormat="1" applyFont="1" applyFill="1" applyBorder="1" applyAlignment="1" applyProtection="1">
      <alignment horizontal="center" vertical="center" wrapText="1"/>
    </xf>
    <xf numFmtId="176" fontId="8" fillId="5"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wrapText="1"/>
    </xf>
    <xf numFmtId="14" fontId="8" fillId="6" borderId="4" xfId="0" applyNumberFormat="1" applyFont="1" applyFill="1" applyBorder="1" applyAlignment="1" applyProtection="1">
      <alignment horizontal="center" vertical="center"/>
    </xf>
    <xf numFmtId="180" fontId="8" fillId="5" borderId="31" xfId="2" applyNumberFormat="1" applyFont="1" applyFill="1" applyBorder="1" applyAlignment="1">
      <alignment horizontal="center" vertical="center"/>
    </xf>
    <xf numFmtId="179" fontId="8" fillId="5" borderId="4" xfId="0" applyNumberFormat="1" applyFont="1" applyFill="1" applyBorder="1" applyAlignment="1" applyProtection="1">
      <alignment horizontal="center" vertical="center" wrapText="1"/>
    </xf>
    <xf numFmtId="176" fontId="8" fillId="6" borderId="4" xfId="0" applyNumberFormat="1" applyFont="1" applyFill="1" applyBorder="1" applyAlignment="1" applyProtection="1">
      <alignment horizontal="center" vertical="center"/>
    </xf>
    <xf numFmtId="180" fontId="8" fillId="5" borderId="29" xfId="2" applyNumberFormat="1" applyFont="1" applyFill="1" applyBorder="1" applyAlignment="1">
      <alignment horizontal="center" vertical="center"/>
    </xf>
    <xf numFmtId="0" fontId="22" fillId="0" borderId="0" xfId="0" applyFont="1" applyFill="1" applyBorder="1" applyAlignment="1" applyProtection="1">
      <alignment horizontal="left" vertical="center" wrapText="1"/>
      <protection locked="0"/>
    </xf>
    <xf numFmtId="0" fontId="22" fillId="0" borderId="0" xfId="0" applyFont="1" applyFill="1" applyBorder="1" applyAlignment="1" applyProtection="1">
      <alignment horizontal="left" vertical="center"/>
      <protection locked="0"/>
    </xf>
    <xf numFmtId="0" fontId="23" fillId="0" borderId="0" xfId="2" applyFont="1" applyFill="1" applyBorder="1" applyAlignment="1">
      <alignment horizontal="left" vertical="center"/>
    </xf>
    <xf numFmtId="0" fontId="21" fillId="0" borderId="0" xfId="2" applyFont="1" applyFill="1" applyBorder="1" applyAlignment="1">
      <alignment horizontal="left" vertical="center"/>
    </xf>
    <xf numFmtId="14" fontId="26" fillId="2" borderId="0" xfId="0" applyNumberFormat="1" applyFont="1" applyFill="1" applyBorder="1" applyAlignment="1" applyProtection="1">
      <alignment horizontal="right" vertical="center"/>
    </xf>
    <xf numFmtId="0" fontId="25" fillId="10" borderId="4" xfId="0" applyFont="1" applyFill="1" applyBorder="1" applyAlignment="1">
      <alignment horizontal="left" wrapText="1"/>
    </xf>
    <xf numFmtId="0" fontId="25" fillId="10" borderId="5" xfId="0" applyFont="1" applyFill="1" applyBorder="1" applyAlignment="1">
      <alignment horizontal="left" wrapText="1"/>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Border="1" applyAlignment="1" applyProtection="1">
      <alignment horizontal="left" vertical="top" wrapText="1"/>
    </xf>
  </cellXfs>
  <cellStyles count="6">
    <cellStyle name="Normal 2" xfId="3"/>
    <cellStyle name="강조색5" xfId="2" builtinId="45"/>
    <cellStyle name="백분율" xfId="1" builtinId="5"/>
    <cellStyle name="표준" xfId="0" builtinId="0"/>
    <cellStyle name="표준 2" xfId="5"/>
    <cellStyle name="하이퍼링크" xfId="4" builtinId="8"/>
  </cellStyles>
  <dxfs count="20">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9"/>
      <tableStyleElement type="headerRow" dxfId="18"/>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170</xdr:col>
      <xdr:colOff>1</xdr:colOff>
      <xdr:row>28</xdr:row>
      <xdr:rowOff>76200</xdr:rowOff>
    </xdr:from>
    <xdr:to>
      <xdr:col>171</xdr:col>
      <xdr:colOff>10668</xdr:colOff>
      <xdr:row>28</xdr:row>
      <xdr:rowOff>76200</xdr:rowOff>
    </xdr:to>
    <xdr:cxnSp macro="">
      <xdr:nvCxnSpPr>
        <xdr:cNvPr id="192" name="직선 화살표 연결선 191"/>
        <xdr:cNvCxnSpPr/>
      </xdr:nvCxnSpPr>
      <xdr:spPr bwMode="auto">
        <a:xfrm>
          <a:off x="15720061" y="4488180"/>
          <a:ext cx="6400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163</xdr:col>
      <xdr:colOff>0</xdr:colOff>
      <xdr:row>27</xdr:row>
      <xdr:rowOff>76200</xdr:rowOff>
    </xdr:from>
    <xdr:to>
      <xdr:col>164</xdr:col>
      <xdr:colOff>2668</xdr:colOff>
      <xdr:row>27</xdr:row>
      <xdr:rowOff>76200</xdr:rowOff>
    </xdr:to>
    <xdr:cxnSp macro="">
      <xdr:nvCxnSpPr>
        <xdr:cNvPr id="193" name="직선 화살표 연결선 192"/>
        <xdr:cNvCxnSpPr/>
      </xdr:nvCxnSpPr>
      <xdr:spPr bwMode="auto">
        <a:xfrm>
          <a:off x="15346680" y="4335780"/>
          <a:ext cx="56008"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163</xdr:col>
      <xdr:colOff>0</xdr:colOff>
      <xdr:row>26</xdr:row>
      <xdr:rowOff>76200</xdr:rowOff>
    </xdr:from>
    <xdr:to>
      <xdr:col>165</xdr:col>
      <xdr:colOff>16245</xdr:colOff>
      <xdr:row>26</xdr:row>
      <xdr:rowOff>76200</xdr:rowOff>
    </xdr:to>
    <xdr:cxnSp macro="">
      <xdr:nvCxnSpPr>
        <xdr:cNvPr id="194" name="직선 화살표 연결선 193"/>
        <xdr:cNvCxnSpPr/>
      </xdr:nvCxnSpPr>
      <xdr:spPr bwMode="auto">
        <a:xfrm>
          <a:off x="15346680" y="4183380"/>
          <a:ext cx="122925"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149</xdr:col>
      <xdr:colOff>0</xdr:colOff>
      <xdr:row>25</xdr:row>
      <xdr:rowOff>76200</xdr:rowOff>
    </xdr:from>
    <xdr:to>
      <xdr:col>160</xdr:col>
      <xdr:colOff>10668</xdr:colOff>
      <xdr:row>25</xdr:row>
      <xdr:rowOff>76200</xdr:rowOff>
    </xdr:to>
    <xdr:cxnSp macro="">
      <xdr:nvCxnSpPr>
        <xdr:cNvPr id="195" name="직선 화살표 연결선 194"/>
        <xdr:cNvCxnSpPr/>
      </xdr:nvCxnSpPr>
      <xdr:spPr bwMode="auto">
        <a:xfrm>
          <a:off x="14599920" y="4030980"/>
          <a:ext cx="597408"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129</xdr:col>
      <xdr:colOff>0</xdr:colOff>
      <xdr:row>24</xdr:row>
      <xdr:rowOff>76200</xdr:rowOff>
    </xdr:from>
    <xdr:to>
      <xdr:col>149</xdr:col>
      <xdr:colOff>0</xdr:colOff>
      <xdr:row>24</xdr:row>
      <xdr:rowOff>76200</xdr:rowOff>
    </xdr:to>
    <xdr:cxnSp macro="">
      <xdr:nvCxnSpPr>
        <xdr:cNvPr id="196" name="직선 화살표 연결선 195"/>
        <xdr:cNvCxnSpPr/>
      </xdr:nvCxnSpPr>
      <xdr:spPr bwMode="auto">
        <a:xfrm>
          <a:off x="13533120" y="3878580"/>
          <a:ext cx="10668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114</xdr:col>
      <xdr:colOff>0</xdr:colOff>
      <xdr:row>23</xdr:row>
      <xdr:rowOff>76200</xdr:rowOff>
    </xdr:from>
    <xdr:to>
      <xdr:col>129</xdr:col>
      <xdr:colOff>0</xdr:colOff>
      <xdr:row>23</xdr:row>
      <xdr:rowOff>76200</xdr:rowOff>
    </xdr:to>
    <xdr:cxnSp macro="">
      <xdr:nvCxnSpPr>
        <xdr:cNvPr id="197" name="직선 화살표 연결선 196"/>
        <xdr:cNvCxnSpPr/>
      </xdr:nvCxnSpPr>
      <xdr:spPr bwMode="auto">
        <a:xfrm>
          <a:off x="12733020" y="3726180"/>
          <a:ext cx="8001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114</xdr:col>
      <xdr:colOff>0</xdr:colOff>
      <xdr:row>22</xdr:row>
      <xdr:rowOff>76200</xdr:rowOff>
    </xdr:from>
    <xdr:to>
      <xdr:col>161</xdr:col>
      <xdr:colOff>19558</xdr:colOff>
      <xdr:row>22</xdr:row>
      <xdr:rowOff>76200</xdr:rowOff>
    </xdr:to>
    <xdr:cxnSp macro="">
      <xdr:nvCxnSpPr>
        <xdr:cNvPr id="198" name="직선 화살표 연결선 197"/>
        <xdr:cNvCxnSpPr/>
      </xdr:nvCxnSpPr>
      <xdr:spPr bwMode="auto">
        <a:xfrm>
          <a:off x="12733020" y="3573780"/>
          <a:ext cx="2526538"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21</xdr:row>
      <xdr:rowOff>76200</xdr:rowOff>
    </xdr:from>
    <xdr:to>
      <xdr:col>114</xdr:col>
      <xdr:colOff>0</xdr:colOff>
      <xdr:row>21</xdr:row>
      <xdr:rowOff>76200</xdr:rowOff>
    </xdr:to>
    <xdr:cxnSp macro="">
      <xdr:nvCxnSpPr>
        <xdr:cNvPr id="199" name="직선 화살표 연결선 198"/>
        <xdr:cNvCxnSpPr/>
      </xdr:nvCxnSpPr>
      <xdr:spPr bwMode="auto">
        <a:xfrm>
          <a:off x="11612880" y="3421380"/>
          <a:ext cx="11201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93</xdr:col>
      <xdr:colOff>0</xdr:colOff>
      <xdr:row>20</xdr:row>
      <xdr:rowOff>76200</xdr:rowOff>
    </xdr:from>
    <xdr:to>
      <xdr:col>114</xdr:col>
      <xdr:colOff>0</xdr:colOff>
      <xdr:row>20</xdr:row>
      <xdr:rowOff>76200</xdr:rowOff>
    </xdr:to>
    <xdr:cxnSp macro="">
      <xdr:nvCxnSpPr>
        <xdr:cNvPr id="200" name="직선 화살표 연결선 199"/>
        <xdr:cNvCxnSpPr/>
      </xdr:nvCxnSpPr>
      <xdr:spPr bwMode="auto">
        <a:xfrm>
          <a:off x="11612880" y="3268980"/>
          <a:ext cx="11201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19</xdr:row>
      <xdr:rowOff>76200</xdr:rowOff>
    </xdr:from>
    <xdr:to>
      <xdr:col>93</xdr:col>
      <xdr:colOff>0</xdr:colOff>
      <xdr:row>19</xdr:row>
      <xdr:rowOff>76200</xdr:rowOff>
    </xdr:to>
    <xdr:cxnSp macro="">
      <xdr:nvCxnSpPr>
        <xdr:cNvPr id="201" name="직선 화살표 연결선 200"/>
        <xdr:cNvCxnSpPr/>
      </xdr:nvCxnSpPr>
      <xdr:spPr bwMode="auto">
        <a:xfrm>
          <a:off x="11292840" y="3116580"/>
          <a:ext cx="3200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18</xdr:row>
      <xdr:rowOff>76200</xdr:rowOff>
    </xdr:from>
    <xdr:to>
      <xdr:col>88</xdr:col>
      <xdr:colOff>0</xdr:colOff>
      <xdr:row>18</xdr:row>
      <xdr:rowOff>76200</xdr:rowOff>
    </xdr:to>
    <xdr:cxnSp macro="">
      <xdr:nvCxnSpPr>
        <xdr:cNvPr id="202" name="직선 화살표 연결선 201"/>
        <xdr:cNvCxnSpPr/>
      </xdr:nvCxnSpPr>
      <xdr:spPr bwMode="auto">
        <a:xfrm>
          <a:off x="11292840" y="2964180"/>
          <a:ext cx="533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17</xdr:row>
      <xdr:rowOff>76200</xdr:rowOff>
    </xdr:from>
    <xdr:to>
      <xdr:col>93</xdr:col>
      <xdr:colOff>0</xdr:colOff>
      <xdr:row>17</xdr:row>
      <xdr:rowOff>76200</xdr:rowOff>
    </xdr:to>
    <xdr:cxnSp macro="">
      <xdr:nvCxnSpPr>
        <xdr:cNvPr id="203" name="직선 화살표 연결선 202"/>
        <xdr:cNvCxnSpPr/>
      </xdr:nvCxnSpPr>
      <xdr:spPr bwMode="auto">
        <a:xfrm>
          <a:off x="11292840" y="2811780"/>
          <a:ext cx="3200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16</xdr:row>
      <xdr:rowOff>76200</xdr:rowOff>
    </xdr:from>
    <xdr:to>
      <xdr:col>167</xdr:col>
      <xdr:colOff>27843</xdr:colOff>
      <xdr:row>16</xdr:row>
      <xdr:rowOff>76200</xdr:rowOff>
    </xdr:to>
    <xdr:cxnSp macro="">
      <xdr:nvCxnSpPr>
        <xdr:cNvPr id="204" name="직선 화살표 연결선 203"/>
        <xdr:cNvCxnSpPr/>
      </xdr:nvCxnSpPr>
      <xdr:spPr bwMode="auto">
        <a:xfrm>
          <a:off x="11292840" y="2659380"/>
          <a:ext cx="4295043"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87</xdr:col>
      <xdr:colOff>0</xdr:colOff>
      <xdr:row>15</xdr:row>
      <xdr:rowOff>76200</xdr:rowOff>
    </xdr:from>
    <xdr:to>
      <xdr:col>161</xdr:col>
      <xdr:colOff>38640</xdr:colOff>
      <xdr:row>15</xdr:row>
      <xdr:rowOff>76200</xdr:rowOff>
    </xdr:to>
    <xdr:cxnSp macro="">
      <xdr:nvCxnSpPr>
        <xdr:cNvPr id="205" name="직선 화살표 연결선 204"/>
        <xdr:cNvCxnSpPr/>
      </xdr:nvCxnSpPr>
      <xdr:spPr bwMode="auto">
        <a:xfrm>
          <a:off x="11292840" y="2506980"/>
          <a:ext cx="39858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14</xdr:row>
      <xdr:rowOff>76200</xdr:rowOff>
    </xdr:from>
    <xdr:to>
      <xdr:col>79</xdr:col>
      <xdr:colOff>0</xdr:colOff>
      <xdr:row>14</xdr:row>
      <xdr:rowOff>76200</xdr:rowOff>
    </xdr:to>
    <xdr:cxnSp macro="">
      <xdr:nvCxnSpPr>
        <xdr:cNvPr id="206" name="직선 화살표 연결선 205"/>
        <xdr:cNvCxnSpPr/>
      </xdr:nvCxnSpPr>
      <xdr:spPr bwMode="auto">
        <a:xfrm>
          <a:off x="10439400" y="23545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13</xdr:row>
      <xdr:rowOff>76200</xdr:rowOff>
    </xdr:from>
    <xdr:to>
      <xdr:col>79</xdr:col>
      <xdr:colOff>0</xdr:colOff>
      <xdr:row>13</xdr:row>
      <xdr:rowOff>76200</xdr:rowOff>
    </xdr:to>
    <xdr:cxnSp macro="">
      <xdr:nvCxnSpPr>
        <xdr:cNvPr id="207" name="직선 화살표 연결선 206"/>
        <xdr:cNvCxnSpPr/>
      </xdr:nvCxnSpPr>
      <xdr:spPr bwMode="auto">
        <a:xfrm>
          <a:off x="10439400" y="22021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12</xdr:row>
      <xdr:rowOff>76200</xdr:rowOff>
    </xdr:from>
    <xdr:to>
      <xdr:col>75</xdr:col>
      <xdr:colOff>0</xdr:colOff>
      <xdr:row>12</xdr:row>
      <xdr:rowOff>76200</xdr:rowOff>
    </xdr:to>
    <xdr:cxnSp macro="">
      <xdr:nvCxnSpPr>
        <xdr:cNvPr id="208" name="직선 화살표 연결선 207"/>
        <xdr:cNvCxnSpPr/>
      </xdr:nvCxnSpPr>
      <xdr:spPr bwMode="auto">
        <a:xfrm>
          <a:off x="10439400" y="204978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11</xdr:row>
      <xdr:rowOff>76200</xdr:rowOff>
    </xdr:from>
    <xdr:to>
      <xdr:col>75</xdr:col>
      <xdr:colOff>0</xdr:colOff>
      <xdr:row>11</xdr:row>
      <xdr:rowOff>76200</xdr:rowOff>
    </xdr:to>
    <xdr:cxnSp macro="">
      <xdr:nvCxnSpPr>
        <xdr:cNvPr id="209" name="직선 화살표 연결선 208"/>
        <xdr:cNvCxnSpPr/>
      </xdr:nvCxnSpPr>
      <xdr:spPr bwMode="auto">
        <a:xfrm>
          <a:off x="10439400" y="189738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71</xdr:col>
      <xdr:colOff>0</xdr:colOff>
      <xdr:row>10</xdr:row>
      <xdr:rowOff>76200</xdr:rowOff>
    </xdr:from>
    <xdr:to>
      <xdr:col>160</xdr:col>
      <xdr:colOff>21632</xdr:colOff>
      <xdr:row>10</xdr:row>
      <xdr:rowOff>76200</xdr:rowOff>
    </xdr:to>
    <xdr:cxnSp macro="">
      <xdr:nvCxnSpPr>
        <xdr:cNvPr id="210" name="직선 화살표 연결선 209"/>
        <xdr:cNvCxnSpPr/>
      </xdr:nvCxnSpPr>
      <xdr:spPr bwMode="auto">
        <a:xfrm>
          <a:off x="10439400" y="1744980"/>
          <a:ext cx="476889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7</xdr:row>
      <xdr:rowOff>76200</xdr:rowOff>
    </xdr:from>
    <xdr:to>
      <xdr:col>82</xdr:col>
      <xdr:colOff>0</xdr:colOff>
      <xdr:row>7</xdr:row>
      <xdr:rowOff>76200</xdr:rowOff>
    </xdr:to>
    <xdr:cxnSp macro="">
      <xdr:nvCxnSpPr>
        <xdr:cNvPr id="211" name="직선 화살표 연결선 210"/>
        <xdr:cNvCxnSpPr/>
      </xdr:nvCxnSpPr>
      <xdr:spPr bwMode="auto">
        <a:xfrm>
          <a:off x="10599420" y="12877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6</xdr:row>
      <xdr:rowOff>76200</xdr:rowOff>
    </xdr:from>
    <xdr:to>
      <xdr:col>82</xdr:col>
      <xdr:colOff>0</xdr:colOff>
      <xdr:row>6</xdr:row>
      <xdr:rowOff>76200</xdr:rowOff>
    </xdr:to>
    <xdr:cxnSp macro="">
      <xdr:nvCxnSpPr>
        <xdr:cNvPr id="212" name="직선 화살표 연결선 211"/>
        <xdr:cNvCxnSpPr/>
      </xdr:nvCxnSpPr>
      <xdr:spPr bwMode="auto">
        <a:xfrm>
          <a:off x="10599420" y="11353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5</xdr:row>
      <xdr:rowOff>76200</xdr:rowOff>
    </xdr:from>
    <xdr:to>
      <xdr:col>82</xdr:col>
      <xdr:colOff>0</xdr:colOff>
      <xdr:row>5</xdr:row>
      <xdr:rowOff>76200</xdr:rowOff>
    </xdr:to>
    <xdr:cxnSp macro="">
      <xdr:nvCxnSpPr>
        <xdr:cNvPr id="213" name="직선 화살표 연결선 212"/>
        <xdr:cNvCxnSpPr/>
      </xdr:nvCxnSpPr>
      <xdr:spPr bwMode="auto">
        <a:xfrm>
          <a:off x="10599420" y="9829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74</xdr:col>
      <xdr:colOff>0</xdr:colOff>
      <xdr:row>4</xdr:row>
      <xdr:rowOff>76200</xdr:rowOff>
    </xdr:from>
    <xdr:to>
      <xdr:col>162</xdr:col>
      <xdr:colOff>15240</xdr:colOff>
      <xdr:row>4</xdr:row>
      <xdr:rowOff>76200</xdr:rowOff>
    </xdr:to>
    <xdr:cxnSp macro="">
      <xdr:nvCxnSpPr>
        <xdr:cNvPr id="214" name="직선 화살표 연결선 213"/>
        <xdr:cNvCxnSpPr/>
      </xdr:nvCxnSpPr>
      <xdr:spPr bwMode="auto">
        <a:xfrm>
          <a:off x="10599420" y="830580"/>
          <a:ext cx="47091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GO179"/>
  <sheetViews>
    <sheetView tabSelected="1" topLeftCell="D1" zoomScaleNormal="100" zoomScalePageLayoutView="55" workbookViewId="0">
      <pane ySplit="4" topLeftCell="A5" activePane="bottomLeft" state="frozen"/>
      <selection activeCell="D1" sqref="D1"/>
      <selection pane="bottomLeft" activeCell="D5" sqref="D5"/>
    </sheetView>
  </sheetViews>
  <sheetFormatPr defaultColWidth="8.8984375" defaultRowHeight="12"/>
  <cols>
    <col min="1" max="1" width="17.69921875" style="59" hidden="1" customWidth="1"/>
    <col min="2" max="2" width="7.3984375" style="59" hidden="1" customWidth="1"/>
    <col min="3" max="3" width="8.296875" style="59" hidden="1" customWidth="1"/>
    <col min="4" max="4" width="9" style="160" customWidth="1"/>
    <col min="5" max="7" width="2.3984375" style="60" customWidth="1"/>
    <col min="8" max="8" width="6.296875" style="60" customWidth="1"/>
    <col min="9" max="11" width="2.3984375" style="60" customWidth="1"/>
    <col min="12" max="12" width="4.59765625" style="60" customWidth="1"/>
    <col min="13" max="13" width="8.3984375" style="61" customWidth="1"/>
    <col min="14" max="14" width="8.296875" style="61" customWidth="1"/>
    <col min="15" max="15" width="6.09765625" style="62" hidden="1" customWidth="1"/>
    <col min="16" max="16" width="8.796875" style="63" customWidth="1"/>
    <col min="17" max="17" width="4.59765625" style="63" customWidth="1"/>
    <col min="18" max="18" width="5.59765625" style="64" hidden="1" customWidth="1"/>
    <col min="19" max="19" width="4.19921875" style="64" hidden="1" customWidth="1"/>
    <col min="20" max="20" width="11.69921875" style="61" hidden="1" customWidth="1"/>
    <col min="21" max="21" width="12.09765625" style="61" hidden="1" customWidth="1"/>
    <col min="22" max="22" width="7.3984375" style="65" hidden="1" customWidth="1"/>
    <col min="23" max="23" width="5.8984375" style="66" hidden="1" customWidth="1"/>
    <col min="24" max="24" width="5.09765625" style="67" customWidth="1"/>
    <col min="25" max="25" width="9.59765625" style="62" customWidth="1"/>
    <col min="26" max="26" width="15.296875" style="68" bestFit="1" customWidth="1"/>
    <col min="27" max="27" width="6.19921875" style="69" customWidth="1"/>
    <col min="28" max="28" width="6.296875" style="161" customWidth="1"/>
    <col min="29" max="196" width="0.69921875" style="58" customWidth="1"/>
    <col min="197" max="16384" width="8.8984375" style="58"/>
  </cols>
  <sheetData>
    <row r="1" spans="1:197" s="136" customFormat="1" ht="19.95" customHeight="1">
      <c r="A1" s="39"/>
      <c r="B1" s="39"/>
      <c r="C1" s="40"/>
      <c r="D1" s="41" t="str">
        <f ca="1">xlgantt.ProjectName()</f>
        <v>모바일SW - 세탁왕</v>
      </c>
      <c r="E1" s="42"/>
      <c r="F1" s="42"/>
      <c r="G1" s="42"/>
      <c r="H1" s="42"/>
      <c r="I1" s="42"/>
      <c r="J1" s="42"/>
      <c r="K1" s="42"/>
      <c r="L1" s="42"/>
      <c r="M1" s="42"/>
      <c r="N1" s="43"/>
      <c r="O1" s="44"/>
      <c r="P1" s="45"/>
      <c r="Q1" s="46"/>
      <c r="R1" s="47"/>
      <c r="S1" s="47"/>
      <c r="T1" s="48"/>
      <c r="U1" s="48"/>
      <c r="W1" s="49"/>
      <c r="X1" s="50"/>
      <c r="Y1" s="51"/>
      <c r="Z1" s="52"/>
      <c r="AA1" s="53"/>
      <c r="AB1" s="54" t="str">
        <f ca="1">xlgantt.ProjectProgressString()</f>
        <v>2017-08-28~2017-12-26 [계획:67.81% 실적:82.84%]</v>
      </c>
      <c r="AC1" s="232" t="s">
        <v>1108</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197" s="136" customFormat="1" ht="15" customHeight="1">
      <c r="A2" s="39"/>
      <c r="B2" s="39"/>
      <c r="C2" s="40"/>
      <c r="D2" s="244"/>
      <c r="E2" s="244"/>
      <c r="F2" s="244"/>
      <c r="G2" s="57"/>
      <c r="H2" s="162"/>
      <c r="I2" s="57"/>
      <c r="J2" s="57"/>
      <c r="K2" s="57"/>
      <c r="L2" s="57"/>
      <c r="M2" s="57"/>
      <c r="N2" s="57"/>
      <c r="O2" s="57"/>
      <c r="P2" s="57"/>
      <c r="Q2" s="57"/>
      <c r="R2" s="57"/>
      <c r="S2" s="57"/>
      <c r="T2" s="57"/>
      <c r="U2" s="57"/>
      <c r="V2" s="57"/>
      <c r="W2" s="57"/>
      <c r="X2" s="57"/>
      <c r="Y2" s="57"/>
      <c r="Z2" s="55"/>
      <c r="AA2" s="56"/>
      <c r="AB2" s="57" t="str">
        <f ca="1">xlgantt.CommentOnHeadArea()</f>
        <v>별(*)표시는 필수입력, 주황색열은 자동계산</v>
      </c>
    </row>
    <row r="3" spans="1:197" s="213" customFormat="1" ht="19.95" customHeight="1">
      <c r="A3" s="233" t="s">
        <v>1109</v>
      </c>
      <c r="B3" s="234" t="s">
        <v>1110</v>
      </c>
      <c r="C3" s="235" t="s">
        <v>1111</v>
      </c>
      <c r="D3" s="236" t="s">
        <v>1112</v>
      </c>
      <c r="E3" s="237" t="s">
        <v>1113</v>
      </c>
      <c r="F3" s="238"/>
      <c r="G3" s="238"/>
      <c r="H3" s="238"/>
      <c r="I3" s="238"/>
      <c r="J3" s="238"/>
      <c r="K3" s="238"/>
      <c r="L3" s="248" t="s">
        <v>1114</v>
      </c>
      <c r="M3" s="248" t="s">
        <v>1086</v>
      </c>
      <c r="N3" s="248" t="s">
        <v>1087</v>
      </c>
      <c r="O3" s="241" t="s">
        <v>1088</v>
      </c>
      <c r="P3" s="246" t="s">
        <v>1089</v>
      </c>
      <c r="Q3" s="246" t="s">
        <v>1090</v>
      </c>
      <c r="R3" s="246" t="s">
        <v>1091</v>
      </c>
      <c r="S3" s="246" t="s">
        <v>1092</v>
      </c>
      <c r="T3" s="247" t="s">
        <v>1093</v>
      </c>
      <c r="U3" s="247" t="s">
        <v>1094</v>
      </c>
      <c r="V3" s="250" t="s">
        <v>1095</v>
      </c>
      <c r="W3" s="245" t="s">
        <v>1096</v>
      </c>
      <c r="X3" s="251" t="s">
        <v>1097</v>
      </c>
      <c r="Y3" s="241" t="s">
        <v>1098</v>
      </c>
      <c r="Z3" s="234" t="s">
        <v>1099</v>
      </c>
      <c r="AA3" s="239" t="s">
        <v>1100</v>
      </c>
      <c r="AB3" s="242" t="s">
        <v>1101</v>
      </c>
      <c r="AC3" s="252">
        <v>42932</v>
      </c>
      <c r="AD3" s="231"/>
      <c r="AE3" s="231"/>
      <c r="AF3" s="231"/>
      <c r="AG3" s="231"/>
      <c r="AH3" s="231"/>
      <c r="AI3" s="231"/>
      <c r="AJ3" s="231">
        <v>42939</v>
      </c>
      <c r="AK3" s="231"/>
      <c r="AL3" s="231"/>
      <c r="AM3" s="231"/>
      <c r="AN3" s="231"/>
      <c r="AO3" s="231"/>
      <c r="AP3" s="231"/>
      <c r="AQ3" s="231">
        <v>42946</v>
      </c>
      <c r="AR3" s="231"/>
      <c r="AS3" s="231"/>
      <c r="AT3" s="231"/>
      <c r="AU3" s="231"/>
      <c r="AV3" s="231"/>
      <c r="AW3" s="231"/>
      <c r="AX3" s="231">
        <v>42953</v>
      </c>
      <c r="AY3" s="231"/>
      <c r="AZ3" s="231"/>
      <c r="BA3" s="231"/>
      <c r="BB3" s="231"/>
      <c r="BC3" s="231"/>
      <c r="BD3" s="231"/>
      <c r="BE3" s="231">
        <v>42960</v>
      </c>
      <c r="BF3" s="231"/>
      <c r="BG3" s="231"/>
      <c r="BH3" s="231"/>
      <c r="BI3" s="231"/>
      <c r="BJ3" s="231"/>
      <c r="BK3" s="231"/>
      <c r="BL3" s="231">
        <v>42967</v>
      </c>
      <c r="BM3" s="231"/>
      <c r="BN3" s="231"/>
      <c r="BO3" s="231"/>
      <c r="BP3" s="231"/>
      <c r="BQ3" s="231"/>
      <c r="BR3" s="231"/>
      <c r="BS3" s="231">
        <v>42974</v>
      </c>
      <c r="BT3" s="231"/>
      <c r="BU3" s="231"/>
      <c r="BV3" s="231"/>
      <c r="BW3" s="231"/>
      <c r="BX3" s="231"/>
      <c r="BY3" s="231"/>
      <c r="BZ3" s="231">
        <v>42981</v>
      </c>
      <c r="CA3" s="231"/>
      <c r="CB3" s="231"/>
      <c r="CC3" s="231"/>
      <c r="CD3" s="231"/>
      <c r="CE3" s="231"/>
      <c r="CF3" s="231"/>
      <c r="CG3" s="231">
        <v>42988</v>
      </c>
      <c r="CH3" s="231"/>
      <c r="CI3" s="231"/>
      <c r="CJ3" s="231"/>
      <c r="CK3" s="231"/>
      <c r="CL3" s="231"/>
      <c r="CM3" s="231"/>
      <c r="CN3" s="231">
        <v>42995</v>
      </c>
      <c r="CO3" s="231"/>
      <c r="CP3" s="231"/>
      <c r="CQ3" s="231"/>
      <c r="CR3" s="231"/>
      <c r="CS3" s="231"/>
      <c r="CT3" s="231"/>
      <c r="CU3" s="231">
        <v>43002</v>
      </c>
      <c r="CV3" s="231"/>
      <c r="CW3" s="231"/>
      <c r="CX3" s="231"/>
      <c r="CY3" s="231"/>
      <c r="CZ3" s="231"/>
      <c r="DA3" s="231"/>
      <c r="DB3" s="231">
        <v>43009</v>
      </c>
      <c r="DC3" s="231"/>
      <c r="DD3" s="231"/>
      <c r="DE3" s="231"/>
      <c r="DF3" s="231"/>
      <c r="DG3" s="231"/>
      <c r="DH3" s="231"/>
      <c r="DI3" s="231">
        <v>43016</v>
      </c>
      <c r="DJ3" s="231"/>
      <c r="DK3" s="231"/>
      <c r="DL3" s="231"/>
      <c r="DM3" s="231"/>
      <c r="DN3" s="231"/>
      <c r="DO3" s="231"/>
      <c r="DP3" s="231">
        <v>43023</v>
      </c>
      <c r="DQ3" s="231"/>
      <c r="DR3" s="231"/>
      <c r="DS3" s="231"/>
      <c r="DT3" s="231"/>
      <c r="DU3" s="231"/>
      <c r="DV3" s="231"/>
      <c r="DW3" s="231">
        <v>43030</v>
      </c>
      <c r="DX3" s="231"/>
      <c r="DY3" s="231"/>
      <c r="DZ3" s="231"/>
      <c r="EA3" s="231"/>
      <c r="EB3" s="231"/>
      <c r="EC3" s="231"/>
      <c r="ED3" s="231">
        <v>43037</v>
      </c>
      <c r="EE3" s="231"/>
      <c r="EF3" s="231"/>
      <c r="EG3" s="231"/>
      <c r="EH3" s="231"/>
      <c r="EI3" s="231"/>
      <c r="EJ3" s="231"/>
      <c r="EK3" s="231">
        <v>43044</v>
      </c>
      <c r="EL3" s="231"/>
      <c r="EM3" s="231"/>
      <c r="EN3" s="231"/>
      <c r="EO3" s="231"/>
      <c r="EP3" s="231"/>
      <c r="EQ3" s="231"/>
      <c r="ER3" s="231">
        <v>43051</v>
      </c>
      <c r="ES3" s="231"/>
      <c r="ET3" s="231"/>
      <c r="EU3" s="231"/>
      <c r="EV3" s="231"/>
      <c r="EW3" s="231"/>
      <c r="EX3" s="231"/>
      <c r="EY3" s="231">
        <v>43058</v>
      </c>
      <c r="EZ3" s="231"/>
      <c r="FA3" s="231"/>
      <c r="FB3" s="231"/>
      <c r="FC3" s="231"/>
      <c r="FD3" s="231"/>
      <c r="FE3" s="231"/>
      <c r="FF3" s="231">
        <v>43065</v>
      </c>
      <c r="FG3" s="231"/>
      <c r="FH3" s="231"/>
      <c r="FI3" s="231"/>
      <c r="FJ3" s="231"/>
      <c r="FK3" s="231"/>
      <c r="FL3" s="231"/>
      <c r="FM3" s="231">
        <v>43072</v>
      </c>
      <c r="FN3" s="231"/>
      <c r="FO3" s="231"/>
      <c r="FP3" s="231"/>
      <c r="FQ3" s="231"/>
      <c r="FR3" s="231"/>
      <c r="FS3" s="231"/>
      <c r="FT3" s="231">
        <v>43079</v>
      </c>
      <c r="FU3" s="231"/>
      <c r="FV3" s="231"/>
      <c r="FW3" s="231"/>
      <c r="FX3" s="231"/>
      <c r="FY3" s="231"/>
      <c r="FZ3" s="231"/>
      <c r="GA3" s="231">
        <v>43086</v>
      </c>
      <c r="GB3" s="231"/>
      <c r="GC3" s="231"/>
      <c r="GD3" s="231"/>
      <c r="GE3" s="231"/>
      <c r="GF3" s="231"/>
      <c r="GG3" s="231"/>
      <c r="GH3" s="231">
        <v>43093</v>
      </c>
      <c r="GI3" s="231"/>
      <c r="GJ3" s="231"/>
      <c r="GK3" s="231"/>
      <c r="GL3" s="231"/>
      <c r="GM3" s="231"/>
      <c r="GN3" s="249"/>
    </row>
    <row r="4" spans="1:197" s="170" customFormat="1" ht="4.95" customHeight="1">
      <c r="A4" s="233"/>
      <c r="B4" s="234"/>
      <c r="C4" s="235"/>
      <c r="D4" s="236"/>
      <c r="E4" s="237"/>
      <c r="F4" s="238"/>
      <c r="G4" s="238"/>
      <c r="H4" s="238"/>
      <c r="I4" s="238"/>
      <c r="J4" s="238"/>
      <c r="K4" s="238"/>
      <c r="L4" s="248"/>
      <c r="M4" s="248"/>
      <c r="N4" s="248"/>
      <c r="O4" s="241"/>
      <c r="P4" s="246"/>
      <c r="Q4" s="246"/>
      <c r="R4" s="246"/>
      <c r="S4" s="246"/>
      <c r="T4" s="248"/>
      <c r="U4" s="248"/>
      <c r="V4" s="250"/>
      <c r="W4" s="245"/>
      <c r="X4" s="251"/>
      <c r="Y4" s="241"/>
      <c r="Z4" s="234"/>
      <c r="AA4" s="240"/>
      <c r="AB4" s="243"/>
      <c r="AC4" s="215">
        <v>42932</v>
      </c>
      <c r="AD4" s="216">
        <v>42933</v>
      </c>
      <c r="AE4" s="216">
        <v>42934</v>
      </c>
      <c r="AF4" s="216">
        <v>42935</v>
      </c>
      <c r="AG4" s="216">
        <v>42936</v>
      </c>
      <c r="AH4" s="216">
        <v>42937</v>
      </c>
      <c r="AI4" s="216">
        <v>42938</v>
      </c>
      <c r="AJ4" s="216">
        <v>42939</v>
      </c>
      <c r="AK4" s="216">
        <v>42940</v>
      </c>
      <c r="AL4" s="216">
        <v>42941</v>
      </c>
      <c r="AM4" s="216">
        <v>42942</v>
      </c>
      <c r="AN4" s="216">
        <v>42943</v>
      </c>
      <c r="AO4" s="216">
        <v>42944</v>
      </c>
      <c r="AP4" s="216">
        <v>42945</v>
      </c>
      <c r="AQ4" s="216">
        <v>42946</v>
      </c>
      <c r="AR4" s="216">
        <v>42947</v>
      </c>
      <c r="AS4" s="216">
        <v>42948</v>
      </c>
      <c r="AT4" s="216">
        <v>42949</v>
      </c>
      <c r="AU4" s="216">
        <v>42950</v>
      </c>
      <c r="AV4" s="216">
        <v>42951</v>
      </c>
      <c r="AW4" s="216">
        <v>42952</v>
      </c>
      <c r="AX4" s="216">
        <v>42953</v>
      </c>
      <c r="AY4" s="216">
        <v>42954</v>
      </c>
      <c r="AZ4" s="216">
        <v>42955</v>
      </c>
      <c r="BA4" s="216">
        <v>42956</v>
      </c>
      <c r="BB4" s="216">
        <v>42957</v>
      </c>
      <c r="BC4" s="216">
        <v>42958</v>
      </c>
      <c r="BD4" s="216">
        <v>42959</v>
      </c>
      <c r="BE4" s="216">
        <v>42960</v>
      </c>
      <c r="BF4" s="216">
        <v>42961</v>
      </c>
      <c r="BG4" s="216">
        <v>42962</v>
      </c>
      <c r="BH4" s="216">
        <v>42963</v>
      </c>
      <c r="BI4" s="216">
        <v>42964</v>
      </c>
      <c r="BJ4" s="216">
        <v>42965</v>
      </c>
      <c r="BK4" s="216">
        <v>42966</v>
      </c>
      <c r="BL4" s="216">
        <v>42967</v>
      </c>
      <c r="BM4" s="216">
        <v>42968</v>
      </c>
      <c r="BN4" s="216">
        <v>42969</v>
      </c>
      <c r="BO4" s="216">
        <v>42970</v>
      </c>
      <c r="BP4" s="216">
        <v>42971</v>
      </c>
      <c r="BQ4" s="216">
        <v>42972</v>
      </c>
      <c r="BR4" s="216">
        <v>42973</v>
      </c>
      <c r="BS4" s="216">
        <v>42974</v>
      </c>
      <c r="BT4" s="216">
        <v>42975</v>
      </c>
      <c r="BU4" s="216">
        <v>42976</v>
      </c>
      <c r="BV4" s="216">
        <v>42977</v>
      </c>
      <c r="BW4" s="216">
        <v>42978</v>
      </c>
      <c r="BX4" s="216">
        <v>42979</v>
      </c>
      <c r="BY4" s="216">
        <v>42980</v>
      </c>
      <c r="BZ4" s="216">
        <v>42981</v>
      </c>
      <c r="CA4" s="216">
        <v>42982</v>
      </c>
      <c r="CB4" s="216">
        <v>42983</v>
      </c>
      <c r="CC4" s="216">
        <v>42984</v>
      </c>
      <c r="CD4" s="216">
        <v>42985</v>
      </c>
      <c r="CE4" s="216">
        <v>42986</v>
      </c>
      <c r="CF4" s="216">
        <v>42987</v>
      </c>
      <c r="CG4" s="216">
        <v>42988</v>
      </c>
      <c r="CH4" s="216">
        <v>42989</v>
      </c>
      <c r="CI4" s="216">
        <v>42990</v>
      </c>
      <c r="CJ4" s="216">
        <v>42991</v>
      </c>
      <c r="CK4" s="216">
        <v>42992</v>
      </c>
      <c r="CL4" s="216">
        <v>42993</v>
      </c>
      <c r="CM4" s="216">
        <v>42994</v>
      </c>
      <c r="CN4" s="216">
        <v>42995</v>
      </c>
      <c r="CO4" s="216">
        <v>42996</v>
      </c>
      <c r="CP4" s="216">
        <v>42997</v>
      </c>
      <c r="CQ4" s="216">
        <v>42998</v>
      </c>
      <c r="CR4" s="216">
        <v>42999</v>
      </c>
      <c r="CS4" s="216">
        <v>43000</v>
      </c>
      <c r="CT4" s="216">
        <v>43001</v>
      </c>
      <c r="CU4" s="216">
        <v>43002</v>
      </c>
      <c r="CV4" s="216">
        <v>43003</v>
      </c>
      <c r="CW4" s="216">
        <v>43004</v>
      </c>
      <c r="CX4" s="216">
        <v>43005</v>
      </c>
      <c r="CY4" s="216">
        <v>43006</v>
      </c>
      <c r="CZ4" s="216">
        <v>43007</v>
      </c>
      <c r="DA4" s="216">
        <v>43008</v>
      </c>
      <c r="DB4" s="216">
        <v>43009</v>
      </c>
      <c r="DC4" s="216">
        <v>43010</v>
      </c>
      <c r="DD4" s="216">
        <v>43011</v>
      </c>
      <c r="DE4" s="216">
        <v>43012</v>
      </c>
      <c r="DF4" s="216">
        <v>43013</v>
      </c>
      <c r="DG4" s="216">
        <v>43014</v>
      </c>
      <c r="DH4" s="216">
        <v>43015</v>
      </c>
      <c r="DI4" s="216">
        <v>43016</v>
      </c>
      <c r="DJ4" s="216">
        <v>43017</v>
      </c>
      <c r="DK4" s="216">
        <v>43018</v>
      </c>
      <c r="DL4" s="216">
        <v>43019</v>
      </c>
      <c r="DM4" s="216">
        <v>43020</v>
      </c>
      <c r="DN4" s="216">
        <v>43021</v>
      </c>
      <c r="DO4" s="216">
        <v>43022</v>
      </c>
      <c r="DP4" s="216">
        <v>43023</v>
      </c>
      <c r="DQ4" s="216">
        <v>43024</v>
      </c>
      <c r="DR4" s="216">
        <v>43025</v>
      </c>
      <c r="DS4" s="216">
        <v>43026</v>
      </c>
      <c r="DT4" s="216">
        <v>43027</v>
      </c>
      <c r="DU4" s="216">
        <v>43028</v>
      </c>
      <c r="DV4" s="216">
        <v>43029</v>
      </c>
      <c r="DW4" s="216">
        <v>43030</v>
      </c>
      <c r="DX4" s="216">
        <v>43031</v>
      </c>
      <c r="DY4" s="216">
        <v>43032</v>
      </c>
      <c r="DZ4" s="216">
        <v>43033</v>
      </c>
      <c r="EA4" s="216">
        <v>43034</v>
      </c>
      <c r="EB4" s="216">
        <v>43035</v>
      </c>
      <c r="EC4" s="216">
        <v>43036</v>
      </c>
      <c r="ED4" s="216">
        <v>43037</v>
      </c>
      <c r="EE4" s="216">
        <v>43038</v>
      </c>
      <c r="EF4" s="216">
        <v>43039</v>
      </c>
      <c r="EG4" s="216">
        <v>43040</v>
      </c>
      <c r="EH4" s="216">
        <v>43041</v>
      </c>
      <c r="EI4" s="216">
        <v>43042</v>
      </c>
      <c r="EJ4" s="216">
        <v>43043</v>
      </c>
      <c r="EK4" s="216">
        <v>43044</v>
      </c>
      <c r="EL4" s="216">
        <v>43045</v>
      </c>
      <c r="EM4" s="216">
        <v>43046</v>
      </c>
      <c r="EN4" s="216">
        <v>43047</v>
      </c>
      <c r="EO4" s="216">
        <v>43048</v>
      </c>
      <c r="EP4" s="216">
        <v>43049</v>
      </c>
      <c r="EQ4" s="216">
        <v>43050</v>
      </c>
      <c r="ER4" s="216">
        <v>43051</v>
      </c>
      <c r="ES4" s="216">
        <v>43052</v>
      </c>
      <c r="ET4" s="216">
        <v>43053</v>
      </c>
      <c r="EU4" s="216">
        <v>43054</v>
      </c>
      <c r="EV4" s="216">
        <v>43055</v>
      </c>
      <c r="EW4" s="216">
        <v>43056</v>
      </c>
      <c r="EX4" s="216">
        <v>43057</v>
      </c>
      <c r="EY4" s="216">
        <v>43058</v>
      </c>
      <c r="EZ4" s="216">
        <v>43059</v>
      </c>
      <c r="FA4" s="216">
        <v>43060</v>
      </c>
      <c r="FB4" s="216">
        <v>43061</v>
      </c>
      <c r="FC4" s="216">
        <v>43062</v>
      </c>
      <c r="FD4" s="216">
        <v>43063</v>
      </c>
      <c r="FE4" s="216">
        <v>43064</v>
      </c>
      <c r="FF4" s="216">
        <v>43065</v>
      </c>
      <c r="FG4" s="216">
        <v>43066</v>
      </c>
      <c r="FH4" s="216">
        <v>43067</v>
      </c>
      <c r="FI4" s="216">
        <v>43068</v>
      </c>
      <c r="FJ4" s="216">
        <v>43069</v>
      </c>
      <c r="FK4" s="216">
        <v>43070</v>
      </c>
      <c r="FL4" s="216">
        <v>43071</v>
      </c>
      <c r="FM4" s="216">
        <v>43072</v>
      </c>
      <c r="FN4" s="216">
        <v>43073</v>
      </c>
      <c r="FO4" s="216">
        <v>43074</v>
      </c>
      <c r="FP4" s="216">
        <v>43075</v>
      </c>
      <c r="FQ4" s="216">
        <v>43076</v>
      </c>
      <c r="FR4" s="216">
        <v>43077</v>
      </c>
      <c r="FS4" s="216">
        <v>43078</v>
      </c>
      <c r="FT4" s="216">
        <v>43079</v>
      </c>
      <c r="FU4" s="216">
        <v>43080</v>
      </c>
      <c r="FV4" s="216">
        <v>43081</v>
      </c>
      <c r="FW4" s="216">
        <v>43082</v>
      </c>
      <c r="FX4" s="216">
        <v>43083</v>
      </c>
      <c r="FY4" s="216">
        <v>43084</v>
      </c>
      <c r="FZ4" s="216">
        <v>43085</v>
      </c>
      <c r="GA4" s="216">
        <v>43086</v>
      </c>
      <c r="GB4" s="216">
        <v>43087</v>
      </c>
      <c r="GC4" s="216">
        <v>43088</v>
      </c>
      <c r="GD4" s="216">
        <v>43089</v>
      </c>
      <c r="GE4" s="216">
        <v>43090</v>
      </c>
      <c r="GF4" s="216">
        <v>43091</v>
      </c>
      <c r="GG4" s="216">
        <v>43092</v>
      </c>
      <c r="GH4" s="216">
        <v>43093</v>
      </c>
      <c r="GI4" s="216">
        <v>43094</v>
      </c>
      <c r="GJ4" s="216">
        <v>43095</v>
      </c>
      <c r="GK4" s="216">
        <v>43096</v>
      </c>
      <c r="GL4" s="216">
        <v>43097</v>
      </c>
      <c r="GM4" s="216">
        <v>43098</v>
      </c>
      <c r="GN4" s="217">
        <v>43099</v>
      </c>
      <c r="GO4" s="214"/>
    </row>
    <row r="5" spans="1:197">
      <c r="A5" s="184"/>
      <c r="B5" s="184" t="s">
        <v>993</v>
      </c>
      <c r="C5" s="184">
        <v>1</v>
      </c>
      <c r="D5" s="195" t="s">
        <v>994</v>
      </c>
      <c r="E5" s="185" t="s">
        <v>851</v>
      </c>
      <c r="F5" s="185"/>
      <c r="G5" s="185"/>
      <c r="H5" s="185"/>
      <c r="I5" s="185"/>
      <c r="J5" s="185"/>
      <c r="K5" s="185"/>
      <c r="L5" s="185"/>
      <c r="M5" s="159">
        <v>42978</v>
      </c>
      <c r="N5" s="159">
        <v>43080</v>
      </c>
      <c r="O5" s="186"/>
      <c r="P5" s="187">
        <v>7</v>
      </c>
      <c r="Q5" s="187">
        <v>6</v>
      </c>
      <c r="R5" s="188">
        <f ca="1">IF(M5="","0",(N5-M5+1)-COUNTIFS(INDIRECT(getCalendarRange(O5)),"&gt;=" &amp; M5,INDIRECT(getCalendarRange(O5)),"&lt;=" &amp; N5))</f>
        <v>68</v>
      </c>
      <c r="S5" s="188">
        <f ca="1">IF(M5&gt;TODAY(),0,IF(N5&lt;TODAY(),R5,(TODAY()-M5+1)-COUNTIFS(INDIRECT(getCalendarRange(O5)),"&gt;=" &amp; M5,INDIRECT(getCalendarRange(O5)),"&lt;=" &amp; TODAY())))</f>
        <v>42</v>
      </c>
      <c r="T5" s="159"/>
      <c r="U5" s="159"/>
      <c r="V5" s="189">
        <v>0</v>
      </c>
      <c r="W5" s="190" t="str">
        <f ca="1">IF(U5="","0",IF(T5="","0",(U5-T5+1)-COUNTIFS(INDIRECT(getCalendarRange(O5)),"&gt;=" &amp; T5,INDIRECT(getCalendarRange(O5)),"&lt;=" &amp; U5)))</f>
        <v>0</v>
      </c>
      <c r="X5" s="191"/>
      <c r="Y5" s="186"/>
      <c r="Z5" s="192"/>
      <c r="AA5" s="193">
        <v>0.8571428571428571</v>
      </c>
      <c r="AB5" s="194">
        <v>0.8571428571428571</v>
      </c>
      <c r="AC5" s="221"/>
      <c r="AD5" s="220"/>
      <c r="AE5" s="220"/>
      <c r="AF5" s="220"/>
      <c r="AG5" s="220"/>
      <c r="AH5" s="220"/>
      <c r="AI5" s="220"/>
      <c r="AJ5" s="220"/>
      <c r="AK5" s="220"/>
      <c r="AL5" s="220"/>
      <c r="AM5" s="220"/>
      <c r="AN5" s="220"/>
      <c r="AO5" s="220"/>
      <c r="AP5" s="220"/>
      <c r="AQ5" s="220"/>
      <c r="AR5" s="220"/>
      <c r="AS5" s="220"/>
      <c r="AT5" s="220"/>
      <c r="AU5" s="220"/>
      <c r="AV5" s="220"/>
      <c r="AW5" s="220"/>
      <c r="AX5" s="220"/>
      <c r="AY5" s="220"/>
      <c r="AZ5" s="220"/>
      <c r="BA5" s="220"/>
      <c r="BB5" s="220"/>
      <c r="BC5" s="220"/>
      <c r="BD5" s="220"/>
      <c r="BE5" s="220"/>
      <c r="BF5" s="220"/>
      <c r="BG5" s="220"/>
      <c r="BH5" s="220"/>
      <c r="BI5" s="220"/>
      <c r="BJ5" s="220"/>
      <c r="BK5" s="220"/>
      <c r="BL5" s="220"/>
      <c r="BM5" s="220"/>
      <c r="BN5" s="220"/>
      <c r="BO5" s="220"/>
      <c r="BP5" s="220"/>
      <c r="BQ5" s="220"/>
      <c r="BR5" s="220"/>
      <c r="BS5" s="220"/>
      <c r="BT5" s="220"/>
      <c r="BU5" s="220"/>
      <c r="BV5" s="220" t="str">
        <f>E5 &amp; " " &amp; IF(M5="","",TEXT(M5,"M/D-")) &amp; IF(N5="","",TEXT(N5,"M/D")) &amp; " "</f>
        <v xml:space="preserve">프로젝트 관리 8/31-12/11 </v>
      </c>
      <c r="BW5" s="220"/>
      <c r="BX5" s="220"/>
      <c r="BY5" s="220"/>
      <c r="BZ5" s="220"/>
      <c r="CA5" s="220"/>
      <c r="CB5" s="220"/>
      <c r="CC5" s="220"/>
      <c r="CD5" s="220"/>
      <c r="CE5" s="220"/>
      <c r="CF5" s="220"/>
      <c r="CG5" s="220"/>
      <c r="CH5" s="220"/>
      <c r="CI5" s="220"/>
      <c r="CJ5" s="220"/>
      <c r="CK5" s="220"/>
      <c r="CL5" s="220"/>
      <c r="CM5" s="220"/>
      <c r="CN5" s="220"/>
      <c r="CO5" s="220"/>
      <c r="CP5" s="220"/>
      <c r="CQ5" s="220"/>
      <c r="CR5" s="220"/>
      <c r="CS5" s="220"/>
      <c r="CT5" s="220"/>
      <c r="CU5" s="220"/>
      <c r="CV5" s="220"/>
      <c r="CW5" s="220"/>
      <c r="CX5" s="220"/>
      <c r="CY5" s="220"/>
      <c r="CZ5" s="220"/>
      <c r="DA5" s="220"/>
      <c r="DB5" s="220"/>
      <c r="DC5" s="220"/>
      <c r="DD5" s="220"/>
      <c r="DE5" s="220"/>
      <c r="DF5" s="220"/>
      <c r="DG5" s="220"/>
      <c r="DH5" s="220"/>
      <c r="DI5" s="220"/>
      <c r="DJ5" s="220"/>
      <c r="DK5" s="220"/>
      <c r="DL5" s="220"/>
      <c r="DM5" s="220"/>
      <c r="DN5" s="220"/>
      <c r="DO5" s="220"/>
      <c r="DP5" s="220"/>
      <c r="DQ5" s="220"/>
      <c r="DR5" s="220"/>
      <c r="DS5" s="220"/>
      <c r="DT5" s="220"/>
      <c r="DU5" s="220"/>
      <c r="DV5" s="220"/>
      <c r="DW5" s="220"/>
      <c r="DX5" s="220"/>
      <c r="DY5" s="220"/>
      <c r="DZ5" s="220"/>
      <c r="EA5" s="220"/>
      <c r="EB5" s="220"/>
      <c r="EC5" s="220"/>
      <c r="ED5" s="220"/>
      <c r="EE5" s="220"/>
      <c r="EF5" s="220"/>
      <c r="EG5" s="220"/>
      <c r="EH5" s="220"/>
      <c r="EI5" s="220"/>
      <c r="EJ5" s="220"/>
      <c r="EK5" s="220"/>
      <c r="EL5" s="220"/>
      <c r="EM5" s="220"/>
      <c r="EN5" s="220"/>
      <c r="EO5" s="220"/>
      <c r="EP5" s="220"/>
      <c r="EQ5" s="220"/>
      <c r="ER5" s="220"/>
      <c r="ES5" s="220"/>
      <c r="ET5" s="220"/>
      <c r="EU5" s="220"/>
      <c r="EV5" s="220"/>
      <c r="EW5" s="220"/>
      <c r="EX5" s="220"/>
      <c r="EY5" s="220"/>
      <c r="EZ5" s="220"/>
      <c r="FA5" s="220"/>
      <c r="FB5" s="220"/>
      <c r="FC5" s="220"/>
      <c r="FD5" s="220"/>
      <c r="FE5" s="220"/>
      <c r="FF5" s="220"/>
      <c r="FG5" s="212" t="str">
        <f>TEXT(AB5,"#0.00%") &amp; " "</f>
        <v xml:space="preserve">85.71% </v>
      </c>
      <c r="FH5" s="220"/>
      <c r="FI5" s="220"/>
      <c r="FJ5" s="220"/>
      <c r="FK5" s="220"/>
      <c r="FL5" s="220"/>
      <c r="FM5" s="220"/>
      <c r="FN5" s="220"/>
      <c r="FO5" s="220"/>
      <c r="FP5" s="220"/>
      <c r="FQ5" s="220"/>
      <c r="FR5" s="220"/>
      <c r="FS5" s="220"/>
      <c r="FT5" s="220"/>
      <c r="FU5" s="220"/>
      <c r="FV5" s="220"/>
      <c r="FW5" s="220"/>
      <c r="FX5" s="220"/>
      <c r="FY5" s="220"/>
      <c r="FZ5" s="220"/>
      <c r="GA5" s="220"/>
      <c r="GB5" s="220"/>
      <c r="GC5" s="220"/>
      <c r="GD5" s="220"/>
      <c r="GE5" s="220"/>
      <c r="GF5" s="220"/>
      <c r="GG5" s="220"/>
      <c r="GH5" s="220"/>
      <c r="GI5" s="220"/>
      <c r="GJ5" s="220"/>
      <c r="GK5" s="220"/>
      <c r="GL5" s="220"/>
      <c r="GM5" s="220"/>
      <c r="GN5" s="220"/>
    </row>
    <row r="6" spans="1:197">
      <c r="A6" s="184"/>
      <c r="B6" s="184" t="s">
        <v>993</v>
      </c>
      <c r="C6" s="184">
        <v>2</v>
      </c>
      <c r="D6" s="195" t="s">
        <v>995</v>
      </c>
      <c r="E6" s="185"/>
      <c r="F6" s="185" t="s">
        <v>1029</v>
      </c>
      <c r="G6" s="185"/>
      <c r="H6" s="185"/>
      <c r="I6" s="185"/>
      <c r="J6" s="185"/>
      <c r="K6" s="185"/>
      <c r="L6" s="185"/>
      <c r="M6" s="159">
        <v>42978</v>
      </c>
      <c r="N6" s="159">
        <v>42985</v>
      </c>
      <c r="O6" s="186"/>
      <c r="P6" s="187">
        <v>6</v>
      </c>
      <c r="Q6" s="187">
        <v>6</v>
      </c>
      <c r="R6" s="188">
        <f ca="1">IF(M6="","0",(N6-M6+1)-COUNTIFS(INDIRECT(getCalendarRange(O6)),"&gt;=" &amp; M6,INDIRECT(getCalendarRange(O6)),"&lt;=" &amp; N6))</f>
        <v>6</v>
      </c>
      <c r="S6" s="188">
        <f ca="1">IF(M6&gt;TODAY(),0,IF(N6&lt;TODAY(),R6,(TODAY()-M6+1)-COUNTIFS(INDIRECT(getCalendarRange(O6)),"&gt;=" &amp; M6,INDIRECT(getCalendarRange(O6)),"&lt;=" &amp; TODAY())))</f>
        <v>6</v>
      </c>
      <c r="T6" s="159"/>
      <c r="U6" s="159"/>
      <c r="V6" s="189">
        <v>0</v>
      </c>
      <c r="W6" s="190" t="str">
        <f ca="1">IF(U6="","0",IF(T6="","0",(U6-T6+1)-COUNTIFS(INDIRECT(getCalendarRange(O6)),"&gt;=" &amp; T6,INDIRECT(getCalendarRange(O6)),"&lt;=" &amp; U6)))</f>
        <v>0</v>
      </c>
      <c r="X6" s="191"/>
      <c r="Y6" s="186"/>
      <c r="Z6" s="192"/>
      <c r="AA6" s="193">
        <v>1</v>
      </c>
      <c r="AB6" s="194">
        <v>1</v>
      </c>
      <c r="AC6" s="221"/>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0"/>
      <c r="BH6" s="220"/>
      <c r="BI6" s="220"/>
      <c r="BJ6" s="220"/>
      <c r="BK6" s="220"/>
      <c r="BL6" s="220"/>
      <c r="BM6" s="220"/>
      <c r="BN6" s="220"/>
      <c r="BO6" s="220"/>
      <c r="BP6" s="220"/>
      <c r="BQ6" s="220"/>
      <c r="BR6" s="220"/>
      <c r="BS6" s="220"/>
      <c r="BT6" s="220"/>
      <c r="BU6" s="220"/>
      <c r="BV6" s="220" t="str">
        <f>F6 &amp; " " &amp; IF(M6="","",TEXT(M6,"M/D-")) &amp; IF(N6="","",TEXT(N6,"M/D")) &amp; " "</f>
        <v xml:space="preserve">프로젝트 착수 및 계획수립 8/31-9/7 </v>
      </c>
      <c r="BW6" s="220"/>
      <c r="BX6" s="220"/>
      <c r="BY6" s="220"/>
      <c r="BZ6" s="220"/>
      <c r="CA6" s="220"/>
      <c r="CB6" s="220"/>
      <c r="CC6" s="220"/>
      <c r="CD6" s="220"/>
      <c r="CE6" s="212" t="str">
        <f>TEXT(AB6,"#0.00%") &amp; " "</f>
        <v xml:space="preserve">100.00% </v>
      </c>
      <c r="CF6" s="220"/>
      <c r="CG6" s="220"/>
      <c r="CH6" s="220"/>
      <c r="CI6" s="220"/>
      <c r="CJ6" s="220"/>
      <c r="CK6" s="220"/>
      <c r="CL6" s="220"/>
      <c r="CM6" s="220"/>
      <c r="CN6" s="220"/>
      <c r="CO6" s="220"/>
      <c r="CP6" s="220"/>
      <c r="CQ6" s="220"/>
      <c r="CR6" s="220"/>
      <c r="CS6" s="220"/>
      <c r="CT6" s="220"/>
      <c r="CU6" s="220"/>
      <c r="CV6" s="220"/>
      <c r="CW6" s="220"/>
      <c r="CX6" s="220"/>
      <c r="CY6" s="220"/>
      <c r="CZ6" s="220"/>
      <c r="DA6" s="220"/>
      <c r="DB6" s="220"/>
      <c r="DC6" s="220"/>
      <c r="DD6" s="220"/>
      <c r="DE6" s="220"/>
      <c r="DF6" s="220"/>
      <c r="DG6" s="220"/>
      <c r="DH6" s="220"/>
      <c r="DI6" s="220"/>
      <c r="DJ6" s="220"/>
      <c r="DK6" s="220"/>
      <c r="DL6" s="220"/>
      <c r="DM6" s="220"/>
      <c r="DN6" s="220"/>
      <c r="DO6" s="220"/>
      <c r="DP6" s="220"/>
      <c r="DQ6" s="220"/>
      <c r="DR6" s="220"/>
      <c r="DS6" s="220"/>
      <c r="DT6" s="220"/>
      <c r="DU6" s="220"/>
      <c r="DV6" s="220"/>
      <c r="DW6" s="220"/>
      <c r="DX6" s="220"/>
      <c r="DY6" s="220"/>
      <c r="DZ6" s="220"/>
      <c r="EA6" s="220"/>
      <c r="EB6" s="220"/>
      <c r="EC6" s="220"/>
      <c r="ED6" s="220"/>
      <c r="EE6" s="220"/>
      <c r="EF6" s="220"/>
      <c r="EG6" s="220"/>
      <c r="EH6" s="220"/>
      <c r="EI6" s="220"/>
      <c r="EJ6" s="220"/>
      <c r="EK6" s="220"/>
      <c r="EL6" s="220"/>
      <c r="EM6" s="220"/>
      <c r="EN6" s="220"/>
      <c r="EO6" s="220"/>
      <c r="EP6" s="220"/>
      <c r="EQ6" s="220"/>
      <c r="ER6" s="220"/>
      <c r="ES6" s="220"/>
      <c r="ET6" s="220"/>
      <c r="EU6" s="220"/>
      <c r="EV6" s="220"/>
      <c r="EW6" s="220"/>
      <c r="EX6" s="220"/>
      <c r="EY6" s="220"/>
      <c r="EZ6" s="220"/>
      <c r="FA6" s="220"/>
      <c r="FB6" s="220"/>
      <c r="FC6" s="220"/>
      <c r="FD6" s="220"/>
      <c r="FE6" s="220"/>
      <c r="FF6" s="220"/>
      <c r="FG6" s="220"/>
      <c r="FH6" s="220"/>
      <c r="FI6" s="220"/>
      <c r="FJ6" s="220"/>
      <c r="FK6" s="220"/>
      <c r="FL6" s="220"/>
      <c r="FM6" s="220"/>
      <c r="FN6" s="220"/>
      <c r="FO6" s="220"/>
      <c r="FP6" s="220"/>
      <c r="FQ6" s="220"/>
      <c r="FR6" s="220"/>
      <c r="FS6" s="220"/>
      <c r="FT6" s="220"/>
      <c r="FU6" s="220"/>
      <c r="FV6" s="220"/>
      <c r="FW6" s="220"/>
      <c r="FX6" s="220"/>
      <c r="FY6" s="220"/>
      <c r="FZ6" s="220"/>
      <c r="GA6" s="220"/>
      <c r="GB6" s="220"/>
      <c r="GC6" s="220"/>
      <c r="GD6" s="220"/>
      <c r="GE6" s="220"/>
      <c r="GF6" s="220"/>
      <c r="GG6" s="220"/>
      <c r="GH6" s="220"/>
      <c r="GI6" s="220"/>
      <c r="GJ6" s="220"/>
      <c r="GK6" s="220"/>
      <c r="GL6" s="220"/>
      <c r="GM6" s="220"/>
      <c r="GN6" s="220"/>
    </row>
    <row r="7" spans="1:197">
      <c r="A7" s="184"/>
      <c r="B7" s="184" t="s">
        <v>993</v>
      </c>
      <c r="C7" s="184">
        <v>3</v>
      </c>
      <c r="D7" s="195" t="s">
        <v>821</v>
      </c>
      <c r="E7" s="185"/>
      <c r="F7" s="185"/>
      <c r="G7" s="185" t="s">
        <v>852</v>
      </c>
      <c r="H7" s="185"/>
      <c r="I7" s="185"/>
      <c r="J7" s="185"/>
      <c r="K7" s="185"/>
      <c r="L7" s="185"/>
      <c r="M7" s="159">
        <v>42978</v>
      </c>
      <c r="N7" s="159">
        <v>42985</v>
      </c>
      <c r="O7" s="186"/>
      <c r="P7" s="187">
        <v>6</v>
      </c>
      <c r="Q7" s="187">
        <v>6</v>
      </c>
      <c r="R7" s="188">
        <f ca="1">IF(M7="","0",(N7-M7+1)-COUNTIFS(INDIRECT(getCalendarRange(O7)),"&gt;=" &amp; M7,INDIRECT(getCalendarRange(O7)),"&lt;=" &amp; N7))</f>
        <v>6</v>
      </c>
      <c r="S7" s="188">
        <f ca="1">IF(M7&gt;TODAY(),0,IF(N7&lt;TODAY(),R7,(TODAY()-M7+1)-COUNTIFS(INDIRECT(getCalendarRange(O7)),"&gt;=" &amp; M7,INDIRECT(getCalendarRange(O7)),"&lt;=" &amp; TODAY())))</f>
        <v>6</v>
      </c>
      <c r="T7" s="159"/>
      <c r="U7" s="159"/>
      <c r="V7" s="189">
        <v>0</v>
      </c>
      <c r="W7" s="190" t="str">
        <f ca="1">IF(U7="","0",IF(T7="","0",(U7-T7+1)-COUNTIFS(INDIRECT(getCalendarRange(O7)),"&gt;=" &amp; T7,INDIRECT(getCalendarRange(O7)),"&lt;=" &amp; U7)))</f>
        <v>0</v>
      </c>
      <c r="X7" s="191"/>
      <c r="Y7" s="186"/>
      <c r="Z7" s="192"/>
      <c r="AA7" s="193">
        <v>1</v>
      </c>
      <c r="AB7" s="194">
        <v>1</v>
      </c>
      <c r="AC7" s="221"/>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c r="BI7" s="220"/>
      <c r="BJ7" s="220"/>
      <c r="BK7" s="220"/>
      <c r="BL7" s="220"/>
      <c r="BM7" s="220"/>
      <c r="BN7" s="220"/>
      <c r="BO7" s="220"/>
      <c r="BP7" s="220"/>
      <c r="BQ7" s="220"/>
      <c r="BR7" s="220"/>
      <c r="BS7" s="220"/>
      <c r="BT7" s="220"/>
      <c r="BU7" s="220"/>
      <c r="BV7" s="220" t="str">
        <f>G7 &amp; " " &amp; IF(M7="","",TEXT(M7,"M/D-")) &amp; IF(N7="","",TEXT(N7,"M/D")) &amp; " "</f>
        <v xml:space="preserve">프로젝트 착수 8/31-9/7 </v>
      </c>
      <c r="BW7" s="220"/>
      <c r="BX7" s="220"/>
      <c r="BY7" s="220"/>
      <c r="BZ7" s="220"/>
      <c r="CA7" s="220"/>
      <c r="CB7" s="220"/>
      <c r="CC7" s="220"/>
      <c r="CD7" s="220"/>
      <c r="CE7" s="212" t="str">
        <f>TEXT(AB7,"#0.00%") &amp; " "</f>
        <v xml:space="preserve">100.00% </v>
      </c>
      <c r="CF7" s="220"/>
      <c r="CG7" s="220"/>
      <c r="CH7" s="220"/>
      <c r="CI7" s="220"/>
      <c r="CJ7" s="220"/>
      <c r="CK7" s="220"/>
      <c r="CL7" s="220"/>
      <c r="CM7" s="220"/>
      <c r="CN7" s="220"/>
      <c r="CO7" s="220"/>
      <c r="CP7" s="220"/>
      <c r="CQ7" s="220"/>
      <c r="CR7" s="220"/>
      <c r="CS7" s="220"/>
      <c r="CT7" s="220"/>
      <c r="CU7" s="220"/>
      <c r="CV7" s="220"/>
      <c r="CW7" s="220"/>
      <c r="CX7" s="220"/>
      <c r="CY7" s="220"/>
      <c r="CZ7" s="220"/>
      <c r="DA7" s="220"/>
      <c r="DB7" s="220"/>
      <c r="DC7" s="220"/>
      <c r="DD7" s="220"/>
      <c r="DE7" s="220"/>
      <c r="DF7" s="220"/>
      <c r="DG7" s="220"/>
      <c r="DH7" s="220"/>
      <c r="DI7" s="220"/>
      <c r="DJ7" s="220"/>
      <c r="DK7" s="220"/>
      <c r="DL7" s="220"/>
      <c r="DM7" s="220"/>
      <c r="DN7" s="220"/>
      <c r="DO7" s="220"/>
      <c r="DP7" s="220"/>
      <c r="DQ7" s="220"/>
      <c r="DR7" s="220"/>
      <c r="DS7" s="220"/>
      <c r="DT7" s="220"/>
      <c r="DU7" s="220"/>
      <c r="DV7" s="220"/>
      <c r="DW7" s="220"/>
      <c r="DX7" s="220"/>
      <c r="DY7" s="220"/>
      <c r="DZ7" s="220"/>
      <c r="EA7" s="220"/>
      <c r="EB7" s="220"/>
      <c r="EC7" s="220"/>
      <c r="ED7" s="220"/>
      <c r="EE7" s="220"/>
      <c r="EF7" s="220"/>
      <c r="EG7" s="220"/>
      <c r="EH7" s="220"/>
      <c r="EI7" s="220"/>
      <c r="EJ7" s="220"/>
      <c r="EK7" s="220"/>
      <c r="EL7" s="220"/>
      <c r="EM7" s="220"/>
      <c r="EN7" s="220"/>
      <c r="EO7" s="220"/>
      <c r="EP7" s="220"/>
      <c r="EQ7" s="220"/>
      <c r="ER7" s="220"/>
      <c r="ES7" s="220"/>
      <c r="ET7" s="220"/>
      <c r="EU7" s="220"/>
      <c r="EV7" s="220"/>
      <c r="EW7" s="220"/>
      <c r="EX7" s="220"/>
      <c r="EY7" s="220"/>
      <c r="EZ7" s="220"/>
      <c r="FA7" s="220"/>
      <c r="FB7" s="220"/>
      <c r="FC7" s="220"/>
      <c r="FD7" s="220"/>
      <c r="FE7" s="220"/>
      <c r="FF7" s="220"/>
      <c r="FG7" s="220"/>
      <c r="FH7" s="220"/>
      <c r="FI7" s="220"/>
      <c r="FJ7" s="220"/>
      <c r="FK7" s="220"/>
      <c r="FL7" s="220"/>
      <c r="FM7" s="220"/>
      <c r="FN7" s="220"/>
      <c r="FO7" s="220"/>
      <c r="FP7" s="220"/>
      <c r="FQ7" s="220"/>
      <c r="FR7" s="220"/>
      <c r="FS7" s="220"/>
      <c r="FT7" s="220"/>
      <c r="FU7" s="220"/>
      <c r="FV7" s="220"/>
      <c r="FW7" s="220"/>
      <c r="FX7" s="220"/>
      <c r="FY7" s="220"/>
      <c r="FZ7" s="220"/>
      <c r="GA7" s="220"/>
      <c r="GB7" s="220"/>
      <c r="GC7" s="220"/>
      <c r="GD7" s="220"/>
      <c r="GE7" s="220"/>
      <c r="GF7" s="220"/>
      <c r="GG7" s="220"/>
      <c r="GH7" s="220"/>
      <c r="GI7" s="220"/>
      <c r="GJ7" s="220"/>
      <c r="GK7" s="220"/>
      <c r="GL7" s="220"/>
      <c r="GM7" s="220"/>
      <c r="GN7" s="220"/>
    </row>
    <row r="8" spans="1:197">
      <c r="A8" s="184"/>
      <c r="B8" s="184"/>
      <c r="C8" s="184">
        <v>4</v>
      </c>
      <c r="D8" s="195" t="s">
        <v>1069</v>
      </c>
      <c r="E8" s="185"/>
      <c r="F8" s="185"/>
      <c r="G8" s="185"/>
      <c r="H8" s="185" t="s">
        <v>854</v>
      </c>
      <c r="I8" s="185"/>
      <c r="J8" s="185"/>
      <c r="K8" s="185"/>
      <c r="L8" s="185"/>
      <c r="M8" s="159">
        <v>42978</v>
      </c>
      <c r="N8" s="159">
        <v>42985</v>
      </c>
      <c r="O8" s="186"/>
      <c r="P8" s="187">
        <v>6</v>
      </c>
      <c r="Q8" s="187">
        <v>6</v>
      </c>
      <c r="R8" s="188">
        <f ca="1">IF(M8="","0",(N8-M8+1)-COUNTIFS(INDIRECT(getCalendarRange(O8)),"&gt;=" &amp; M8,INDIRECT(getCalendarRange(O8)),"&lt;=" &amp; N8))</f>
        <v>6</v>
      </c>
      <c r="S8" s="188">
        <f ca="1">IF(M8&gt;TODAY(),0,IF(N8&lt;TODAY(),R8,(TODAY()-M8+1)-COUNTIFS(INDIRECT(getCalendarRange(O8)),"&gt;=" &amp; M8,INDIRECT(getCalendarRange(O8)),"&lt;=" &amp; TODAY())))</f>
        <v>6</v>
      </c>
      <c r="T8" s="159">
        <v>42679</v>
      </c>
      <c r="U8" s="159">
        <v>42685</v>
      </c>
      <c r="V8" s="189">
        <v>5</v>
      </c>
      <c r="W8" s="190">
        <f ca="1">IF(U8="","0",IF(T8="","0",(U8-T8+1)-COUNTIFS(INDIRECT(getCalendarRange(O8)),"&gt;=" &amp; T8,INDIRECT(getCalendarRange(O8)),"&lt;=" &amp; U8)))</f>
        <v>5</v>
      </c>
      <c r="X8" s="191">
        <v>1</v>
      </c>
      <c r="Y8" s="186"/>
      <c r="Z8" s="192" t="s">
        <v>1066</v>
      </c>
      <c r="AA8" s="193">
        <v>1</v>
      </c>
      <c r="AB8" s="194">
        <v>1</v>
      </c>
      <c r="AC8" s="221"/>
      <c r="AD8" s="220"/>
      <c r="AE8" s="220"/>
      <c r="AF8" s="220"/>
      <c r="AG8" s="220"/>
      <c r="AH8" s="220"/>
      <c r="AI8" s="220"/>
      <c r="AJ8" s="220"/>
      <c r="AK8" s="220"/>
      <c r="AL8" s="220"/>
      <c r="AM8" s="220"/>
      <c r="AN8" s="220"/>
      <c r="AO8" s="220"/>
      <c r="AP8" s="220"/>
      <c r="AQ8" s="220"/>
      <c r="AR8" s="220"/>
      <c r="AS8" s="220"/>
      <c r="AT8" s="220"/>
      <c r="AU8" s="220"/>
      <c r="AV8" s="220"/>
      <c r="AW8" s="220"/>
      <c r="AX8" s="220"/>
      <c r="AY8" s="220"/>
      <c r="AZ8" s="220"/>
      <c r="BA8" s="220"/>
      <c r="BB8" s="220"/>
      <c r="BC8" s="220"/>
      <c r="BD8" s="220"/>
      <c r="BE8" s="220"/>
      <c r="BF8" s="220"/>
      <c r="BG8" s="220"/>
      <c r="BH8" s="220"/>
      <c r="BI8" s="220"/>
      <c r="BJ8" s="220"/>
      <c r="BK8" s="220"/>
      <c r="BL8" s="220"/>
      <c r="BM8" s="220"/>
      <c r="BN8" s="220"/>
      <c r="BO8" s="220"/>
      <c r="BP8" s="220"/>
      <c r="BQ8" s="220"/>
      <c r="BR8" s="220"/>
      <c r="BS8" s="220"/>
      <c r="BT8" s="220"/>
      <c r="BU8" s="220"/>
      <c r="BV8" s="220" t="str">
        <f>H8 &amp; " " &amp; IF(M8="","",TEXT(M8,"M/D-")) &amp; IF(N8="","",TEXT(N8,"M/D")) &amp; " "</f>
        <v xml:space="preserve">프로젝트 계획 수립 8/31-9/7 </v>
      </c>
      <c r="BW8" s="220"/>
      <c r="BX8" s="220"/>
      <c r="BY8" s="220"/>
      <c r="BZ8" s="220"/>
      <c r="CA8" s="220"/>
      <c r="CB8" s="220"/>
      <c r="CC8" s="220"/>
      <c r="CD8" s="220"/>
      <c r="CE8" s="212" t="str">
        <f>TEXT(AB8,"#0.00%") &amp; " "</f>
        <v xml:space="preserve">100.00% </v>
      </c>
      <c r="CF8" s="220"/>
      <c r="CG8" s="220"/>
      <c r="CH8" s="220"/>
      <c r="CI8" s="220"/>
      <c r="CJ8" s="220"/>
      <c r="CK8" s="220"/>
      <c r="CL8" s="220"/>
      <c r="CM8" s="220"/>
      <c r="CN8" s="220"/>
      <c r="CO8" s="220"/>
      <c r="CP8" s="220"/>
      <c r="CQ8" s="220"/>
      <c r="CR8" s="220"/>
      <c r="CS8" s="220"/>
      <c r="CT8" s="220"/>
      <c r="CU8" s="220"/>
      <c r="CV8" s="220"/>
      <c r="CW8" s="220"/>
      <c r="CX8" s="220"/>
      <c r="CY8" s="220"/>
      <c r="CZ8" s="220"/>
      <c r="DA8" s="220"/>
      <c r="DB8" s="220"/>
      <c r="DC8" s="220"/>
      <c r="DD8" s="220"/>
      <c r="DE8" s="220"/>
      <c r="DF8" s="220"/>
      <c r="DG8" s="220"/>
      <c r="DH8" s="220"/>
      <c r="DI8" s="220"/>
      <c r="DJ8" s="220"/>
      <c r="DK8" s="220"/>
      <c r="DL8" s="220"/>
      <c r="DM8" s="220"/>
      <c r="DN8" s="220"/>
      <c r="DO8" s="220"/>
      <c r="DP8" s="220"/>
      <c r="DQ8" s="220"/>
      <c r="DR8" s="220"/>
      <c r="DS8" s="220"/>
      <c r="DT8" s="220"/>
      <c r="DU8" s="220"/>
      <c r="DV8" s="220"/>
      <c r="DW8" s="220"/>
      <c r="DX8" s="220"/>
      <c r="DY8" s="220"/>
      <c r="DZ8" s="220"/>
      <c r="EA8" s="220"/>
      <c r="EB8" s="220"/>
      <c r="EC8" s="220"/>
      <c r="ED8" s="220"/>
      <c r="EE8" s="220"/>
      <c r="EF8" s="220"/>
      <c r="EG8" s="220"/>
      <c r="EH8" s="220"/>
      <c r="EI8" s="220"/>
      <c r="EJ8" s="220"/>
      <c r="EK8" s="220"/>
      <c r="EL8" s="220"/>
      <c r="EM8" s="220"/>
      <c r="EN8" s="220"/>
      <c r="EO8" s="220"/>
      <c r="EP8" s="220"/>
      <c r="EQ8" s="220"/>
      <c r="ER8" s="220"/>
      <c r="ES8" s="220"/>
      <c r="ET8" s="220"/>
      <c r="EU8" s="220"/>
      <c r="EV8" s="220"/>
      <c r="EW8" s="220"/>
      <c r="EX8" s="220"/>
      <c r="EY8" s="220"/>
      <c r="EZ8" s="220"/>
      <c r="FA8" s="220"/>
      <c r="FB8" s="220"/>
      <c r="FC8" s="220"/>
      <c r="FD8" s="220"/>
      <c r="FE8" s="220"/>
      <c r="FF8" s="220"/>
      <c r="FG8" s="220"/>
      <c r="FH8" s="220"/>
      <c r="FI8" s="220"/>
      <c r="FJ8" s="220"/>
      <c r="FK8" s="220"/>
      <c r="FL8" s="220"/>
      <c r="FM8" s="220"/>
      <c r="FN8" s="220"/>
      <c r="FO8" s="220"/>
      <c r="FP8" s="220"/>
      <c r="FQ8" s="220"/>
      <c r="FR8" s="220"/>
      <c r="FS8" s="220"/>
      <c r="FT8" s="220"/>
      <c r="FU8" s="220"/>
      <c r="FV8" s="220"/>
      <c r="FW8" s="220"/>
      <c r="FX8" s="220"/>
      <c r="FY8" s="220"/>
      <c r="FZ8" s="220"/>
      <c r="GA8" s="220"/>
      <c r="GB8" s="220"/>
      <c r="GC8" s="220"/>
      <c r="GD8" s="220"/>
      <c r="GE8" s="220"/>
      <c r="GF8" s="220"/>
      <c r="GG8" s="220"/>
      <c r="GH8" s="220"/>
      <c r="GI8" s="220"/>
      <c r="GJ8" s="220"/>
      <c r="GK8" s="220"/>
      <c r="GL8" s="220"/>
      <c r="GM8" s="220"/>
      <c r="GN8" s="220"/>
    </row>
    <row r="9" spans="1:197">
      <c r="A9" s="184"/>
      <c r="B9" s="184" t="s">
        <v>993</v>
      </c>
      <c r="C9" s="184">
        <v>2</v>
      </c>
      <c r="D9" s="195" t="s">
        <v>996</v>
      </c>
      <c r="E9" s="185"/>
      <c r="F9" s="185" t="s">
        <v>947</v>
      </c>
      <c r="G9" s="185"/>
      <c r="H9" s="185"/>
      <c r="I9" s="185"/>
      <c r="J9" s="185"/>
      <c r="K9" s="185"/>
      <c r="L9" s="185"/>
      <c r="M9" s="159">
        <v>43080</v>
      </c>
      <c r="N9" s="159">
        <v>43080</v>
      </c>
      <c r="O9" s="186"/>
      <c r="P9" s="187">
        <v>1</v>
      </c>
      <c r="Q9" s="187">
        <v>0</v>
      </c>
      <c r="R9" s="188">
        <f ca="1">IF(M9="","0",(N9-M9+1)-COUNTIFS(INDIRECT(getCalendarRange(O9)),"&gt;=" &amp; M9,INDIRECT(getCalendarRange(O9)),"&lt;=" &amp; N9))</f>
        <v>1</v>
      </c>
      <c r="S9" s="188">
        <f ca="1">IF(M9&gt;TODAY(),0,IF(N9&lt;TODAY(),R9,(TODAY()-M9+1)-COUNTIFS(INDIRECT(getCalendarRange(O9)),"&gt;=" &amp; M9,INDIRECT(getCalendarRange(O9)),"&lt;=" &amp; TODAY())))</f>
        <v>0</v>
      </c>
      <c r="T9" s="159"/>
      <c r="U9" s="159"/>
      <c r="V9" s="189">
        <v>0</v>
      </c>
      <c r="W9" s="190" t="str">
        <f ca="1">IF(U9="","0",IF(T9="","0",(U9-T9+1)-COUNTIFS(INDIRECT(getCalendarRange(O9)),"&gt;=" &amp; T9,INDIRECT(getCalendarRange(O9)),"&lt;=" &amp; U9)))</f>
        <v>0</v>
      </c>
      <c r="X9" s="191"/>
      <c r="Y9" s="186"/>
      <c r="Z9" s="192"/>
      <c r="AA9" s="193">
        <v>0</v>
      </c>
      <c r="AB9" s="194">
        <v>0</v>
      </c>
      <c r="AC9" s="221"/>
      <c r="AD9" s="220"/>
      <c r="AE9" s="220"/>
      <c r="AF9" s="220"/>
      <c r="AG9" s="220"/>
      <c r="AH9" s="220"/>
      <c r="AI9" s="220"/>
      <c r="AJ9" s="220"/>
      <c r="AK9" s="220"/>
      <c r="AL9" s="220"/>
      <c r="AM9" s="220"/>
      <c r="AN9" s="220"/>
      <c r="AO9" s="220"/>
      <c r="AP9" s="220"/>
      <c r="AQ9" s="220"/>
      <c r="AR9" s="220"/>
      <c r="AS9" s="220"/>
      <c r="AT9" s="220"/>
      <c r="AU9" s="220"/>
      <c r="AV9" s="220"/>
      <c r="AW9" s="220"/>
      <c r="AX9" s="220"/>
      <c r="AY9" s="220"/>
      <c r="AZ9" s="220"/>
      <c r="BA9" s="220"/>
      <c r="BB9" s="220"/>
      <c r="BC9" s="220"/>
      <c r="BD9" s="220"/>
      <c r="BE9" s="220"/>
      <c r="BF9" s="220"/>
      <c r="BG9" s="220"/>
      <c r="BH9" s="220"/>
      <c r="BI9" s="220"/>
      <c r="BJ9" s="220"/>
      <c r="BK9" s="220"/>
      <c r="BL9" s="220"/>
      <c r="BM9" s="220"/>
      <c r="BN9" s="220"/>
      <c r="BO9" s="220"/>
      <c r="BP9" s="220"/>
      <c r="BQ9" s="220"/>
      <c r="BR9" s="220"/>
      <c r="BS9" s="220"/>
      <c r="BT9" s="220"/>
      <c r="BU9" s="220"/>
      <c r="BV9" s="220"/>
      <c r="BW9" s="220"/>
      <c r="BX9" s="220"/>
      <c r="BY9" s="220"/>
      <c r="BZ9" s="220"/>
      <c r="CA9" s="220"/>
      <c r="CB9" s="220"/>
      <c r="CC9" s="220"/>
      <c r="CD9" s="220"/>
      <c r="CE9" s="220"/>
      <c r="CF9" s="220"/>
      <c r="CG9" s="220"/>
      <c r="CH9" s="220"/>
      <c r="CI9" s="220"/>
      <c r="CJ9" s="220"/>
      <c r="CK9" s="220"/>
      <c r="CL9" s="220"/>
      <c r="CM9" s="220"/>
      <c r="CN9" s="220"/>
      <c r="CO9" s="220"/>
      <c r="CP9" s="220"/>
      <c r="CQ9" s="220"/>
      <c r="CR9" s="220"/>
      <c r="CS9" s="220"/>
      <c r="CT9" s="220"/>
      <c r="CU9" s="220"/>
      <c r="CV9" s="220"/>
      <c r="CW9" s="220"/>
      <c r="CX9" s="220"/>
      <c r="CY9" s="220"/>
      <c r="CZ9" s="220"/>
      <c r="DA9" s="220"/>
      <c r="DB9" s="220"/>
      <c r="DC9" s="220"/>
      <c r="DD9" s="220"/>
      <c r="DE9" s="220"/>
      <c r="DF9" s="220"/>
      <c r="DG9" s="220"/>
      <c r="DH9" s="220"/>
      <c r="DI9" s="220"/>
      <c r="DJ9" s="220"/>
      <c r="DK9" s="220"/>
      <c r="DL9" s="220"/>
      <c r="DM9" s="220"/>
      <c r="DN9" s="220"/>
      <c r="DO9" s="220"/>
      <c r="DP9" s="220"/>
      <c r="DQ9" s="220"/>
      <c r="DR9" s="220"/>
      <c r="DS9" s="220"/>
      <c r="DT9" s="220"/>
      <c r="DU9" s="220"/>
      <c r="DV9" s="220"/>
      <c r="DW9" s="220"/>
      <c r="DX9" s="220"/>
      <c r="DY9" s="220"/>
      <c r="DZ9" s="220"/>
      <c r="EA9" s="220"/>
      <c r="EB9" s="220"/>
      <c r="EC9" s="220"/>
      <c r="ED9" s="220"/>
      <c r="EE9" s="220"/>
      <c r="EF9" s="220"/>
      <c r="EG9" s="220"/>
      <c r="EH9" s="220"/>
      <c r="EI9" s="220"/>
      <c r="EJ9" s="220"/>
      <c r="EK9" s="220"/>
      <c r="EL9" s="220"/>
      <c r="EM9" s="220"/>
      <c r="EN9" s="220"/>
      <c r="EO9" s="220"/>
      <c r="EP9" s="220"/>
      <c r="EQ9" s="220"/>
      <c r="ER9" s="220"/>
      <c r="ES9" s="220"/>
      <c r="ET9" s="220"/>
      <c r="EU9" s="220"/>
      <c r="EV9" s="220"/>
      <c r="EW9" s="220"/>
      <c r="EX9" s="220"/>
      <c r="EY9" s="220"/>
      <c r="EZ9" s="220"/>
      <c r="FA9" s="220"/>
      <c r="FB9" s="220"/>
      <c r="FC9" s="220"/>
      <c r="FD9" s="220"/>
      <c r="FE9" s="220"/>
      <c r="FF9" s="220"/>
      <c r="FG9" s="220"/>
      <c r="FH9" s="220"/>
      <c r="FI9" s="220"/>
      <c r="FJ9" s="220"/>
      <c r="FK9" s="220"/>
      <c r="FL9" s="220"/>
      <c r="FM9" s="220"/>
      <c r="FN9" s="220"/>
      <c r="FO9" s="220"/>
      <c r="FP9" s="220"/>
      <c r="FQ9" s="220"/>
      <c r="FR9" s="220"/>
      <c r="FS9" s="220"/>
      <c r="FT9" s="220" t="str">
        <f>F9 &amp; " " &amp; IF(M9="","",TEXT(M9,"M/D-")) &amp; IF(N9="","",TEXT(N9,"M/D")) &amp; " "</f>
        <v xml:space="preserve">프로젝트 종료 12/11-12/11 </v>
      </c>
      <c r="FU9" s="212" t="str">
        <f>TEXT(AB9,"#0.00%") &amp; " "</f>
        <v xml:space="preserve">0.00% </v>
      </c>
      <c r="FV9" s="220"/>
      <c r="FW9" s="220"/>
      <c r="FX9" s="220"/>
      <c r="FY9" s="220"/>
      <c r="FZ9" s="220"/>
      <c r="GA9" s="220"/>
      <c r="GB9" s="220"/>
      <c r="GC9" s="220"/>
      <c r="GD9" s="220"/>
      <c r="GE9" s="220"/>
      <c r="GF9" s="220"/>
      <c r="GG9" s="220"/>
      <c r="GH9" s="220"/>
      <c r="GI9" s="220"/>
      <c r="GJ9" s="220"/>
      <c r="GK9" s="220"/>
      <c r="GL9" s="220"/>
      <c r="GM9" s="220"/>
      <c r="GN9" s="220"/>
    </row>
    <row r="10" spans="1:197">
      <c r="A10" s="184"/>
      <c r="B10" s="184"/>
      <c r="C10" s="184">
        <v>3</v>
      </c>
      <c r="D10" s="195" t="s">
        <v>984</v>
      </c>
      <c r="E10" s="185"/>
      <c r="F10" s="185"/>
      <c r="G10" s="185" t="s">
        <v>948</v>
      </c>
      <c r="H10" s="185"/>
      <c r="I10" s="185"/>
      <c r="J10" s="185"/>
      <c r="K10" s="185"/>
      <c r="L10" s="185"/>
      <c r="M10" s="159">
        <v>43080</v>
      </c>
      <c r="N10" s="159">
        <v>43080</v>
      </c>
      <c r="O10" s="186"/>
      <c r="P10" s="187">
        <v>1</v>
      </c>
      <c r="Q10" s="187">
        <v>0</v>
      </c>
      <c r="R10" s="188">
        <f ca="1">IF(M10="","0",(N10-M10+1)-COUNTIFS(INDIRECT(getCalendarRange(O10)),"&gt;=" &amp; M10,INDIRECT(getCalendarRange(O10)),"&lt;=" &amp; N10))</f>
        <v>1</v>
      </c>
      <c r="S10" s="188">
        <f ca="1">IF(M10&gt;TODAY(),0,IF(N10&lt;TODAY(),R10,(TODAY()-M10+1)-COUNTIFS(INDIRECT(getCalendarRange(O10)),"&gt;=" &amp; M10,INDIRECT(getCalendarRange(O10)),"&lt;=" &amp; TODAY())))</f>
        <v>0</v>
      </c>
      <c r="T10" s="159"/>
      <c r="U10" s="159"/>
      <c r="V10" s="189"/>
      <c r="W10" s="190" t="str">
        <f ca="1">IF(U10="","0",IF(T10="","0",(U10-T10+1)-COUNTIFS(INDIRECT(getCalendarRange(O10)),"&gt;=" &amp; T10,INDIRECT(getCalendarRange(O10)),"&lt;=" &amp; U10)))</f>
        <v>0</v>
      </c>
      <c r="X10" s="191">
        <v>1</v>
      </c>
      <c r="Y10" s="186"/>
      <c r="Z10" s="192"/>
      <c r="AA10" s="193">
        <v>0</v>
      </c>
      <c r="AB10" s="194">
        <v>0</v>
      </c>
      <c r="AC10" s="221"/>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220"/>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220"/>
      <c r="CF10" s="220"/>
      <c r="CG10" s="220"/>
      <c r="CH10" s="220"/>
      <c r="CI10" s="220"/>
      <c r="CJ10" s="220"/>
      <c r="CK10" s="220"/>
      <c r="CL10" s="220"/>
      <c r="CM10" s="220"/>
      <c r="CN10" s="220"/>
      <c r="CO10" s="220"/>
      <c r="CP10" s="220"/>
      <c r="CQ10" s="220"/>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t="str">
        <f>G10 &amp; " " &amp; IF(M10="","",TEXT(M10,"M/D-")) &amp; IF(N10="","",TEXT(N10,"M/D")) &amp; " "</f>
        <v xml:space="preserve">검수 및 종료 12/11-12/11 </v>
      </c>
      <c r="FU10" s="212" t="str">
        <f>TEXT(AB10,"#0.00%") &amp; " "</f>
        <v xml:space="preserve">0.00% </v>
      </c>
      <c r="FV10" s="220"/>
      <c r="FW10" s="220"/>
      <c r="FX10" s="220"/>
      <c r="FY10" s="220"/>
      <c r="FZ10" s="220"/>
      <c r="GA10" s="220"/>
      <c r="GB10" s="220"/>
      <c r="GC10" s="220"/>
      <c r="GD10" s="220"/>
      <c r="GE10" s="220"/>
      <c r="GF10" s="220"/>
      <c r="GG10" s="220"/>
      <c r="GH10" s="220"/>
      <c r="GI10" s="220"/>
      <c r="GJ10" s="220"/>
      <c r="GK10" s="220"/>
      <c r="GL10" s="220"/>
      <c r="GM10" s="220"/>
      <c r="GN10" s="220"/>
    </row>
    <row r="11" spans="1:197">
      <c r="A11" s="184"/>
      <c r="B11" s="184" t="s">
        <v>993</v>
      </c>
      <c r="C11" s="184">
        <v>1</v>
      </c>
      <c r="D11" s="195" t="s">
        <v>997</v>
      </c>
      <c r="E11" s="185" t="s">
        <v>949</v>
      </c>
      <c r="F11" s="185"/>
      <c r="G11" s="185"/>
      <c r="H11" s="185"/>
      <c r="I11" s="185"/>
      <c r="J11" s="185"/>
      <c r="K11" s="185"/>
      <c r="L11" s="185"/>
      <c r="M11" s="159">
        <v>42975</v>
      </c>
      <c r="N11" s="159">
        <v>43079</v>
      </c>
      <c r="O11" s="186"/>
      <c r="P11" s="187">
        <v>135</v>
      </c>
      <c r="Q11" s="187">
        <v>93</v>
      </c>
      <c r="R11" s="188">
        <f ca="1">IF(M11="","0",(N11-M11+1)-COUNTIFS(INDIRECT(getCalendarRange(O11)),"&gt;=" &amp; M11,INDIRECT(getCalendarRange(O11)),"&lt;=" &amp; N11))</f>
        <v>70</v>
      </c>
      <c r="S11" s="188">
        <f ca="1">IF(M11&gt;TODAY(),0,IF(N11&lt;TODAY(),R11,(TODAY()-M11+1)-COUNTIFS(INDIRECT(getCalendarRange(O11)),"&gt;=" &amp; M11,INDIRECT(getCalendarRange(O11)),"&lt;=" &amp; TODAY())))</f>
        <v>45</v>
      </c>
      <c r="T11" s="159"/>
      <c r="U11" s="159"/>
      <c r="V11" s="189">
        <v>0</v>
      </c>
      <c r="W11" s="190" t="str">
        <f ca="1">IF(U11="","0",IF(T11="","0",(U11-T11+1)-COUNTIFS(INDIRECT(getCalendarRange(O11)),"&gt;=" &amp; T11,INDIRECT(getCalendarRange(O11)),"&lt;=" &amp; U11)))</f>
        <v>0</v>
      </c>
      <c r="X11" s="191"/>
      <c r="Y11" s="186"/>
      <c r="Z11" s="192"/>
      <c r="AA11" s="193">
        <v>0.68888888888888888</v>
      </c>
      <c r="AB11" s="194">
        <v>0.85148148148148151</v>
      </c>
      <c r="AC11" s="221"/>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220"/>
      <c r="BJ11" s="220"/>
      <c r="BK11" s="220"/>
      <c r="BL11" s="220"/>
      <c r="BM11" s="220"/>
      <c r="BN11" s="220"/>
      <c r="BO11" s="220"/>
      <c r="BP11" s="220"/>
      <c r="BQ11" s="220"/>
      <c r="BR11" s="220"/>
      <c r="BS11" s="220" t="str">
        <f>E11 &amp; " " &amp; IF(M11="","",TEXT(M11,"M/D-")) &amp; IF(N11="","",TEXT(N11,"M/D")) &amp; " "</f>
        <v xml:space="preserve">시스템 개발 8/28-12/10 </v>
      </c>
      <c r="BT11" s="220"/>
      <c r="BU11" s="220"/>
      <c r="BV11" s="220"/>
      <c r="BW11" s="220"/>
      <c r="BX11" s="220"/>
      <c r="BY11" s="220"/>
      <c r="BZ11" s="220"/>
      <c r="CA11" s="220"/>
      <c r="CB11" s="220"/>
      <c r="CC11" s="220"/>
      <c r="CD11" s="220"/>
      <c r="CE11" s="220"/>
      <c r="CF11" s="220"/>
      <c r="CG11" s="220"/>
      <c r="CH11" s="220"/>
      <c r="CI11" s="220"/>
      <c r="CJ11" s="220"/>
      <c r="CK11" s="220"/>
      <c r="CL11" s="220"/>
      <c r="CM11" s="212"/>
      <c r="CN11" s="220"/>
      <c r="CO11" s="212"/>
      <c r="CP11" s="220"/>
      <c r="CQ11" s="220"/>
      <c r="CR11" s="220"/>
      <c r="CS11" s="220"/>
      <c r="CT11" s="220"/>
      <c r="CU11" s="220"/>
      <c r="CV11" s="220"/>
      <c r="CW11" s="220"/>
      <c r="CX11" s="220"/>
      <c r="CY11" s="220"/>
      <c r="CZ11" s="220"/>
      <c r="DA11" s="220"/>
      <c r="DB11" s="220"/>
      <c r="DC11" s="220"/>
      <c r="DD11" s="220"/>
      <c r="DE11" s="220"/>
      <c r="DF11" s="220"/>
      <c r="DG11" s="220"/>
      <c r="DH11" s="220"/>
      <c r="DI11" s="220"/>
      <c r="DJ11" s="220"/>
      <c r="DK11" s="220"/>
      <c r="DL11" s="220"/>
      <c r="DM11" s="220"/>
      <c r="DN11" s="220"/>
      <c r="DO11" s="220"/>
      <c r="DP11" s="220"/>
      <c r="DQ11" s="220"/>
      <c r="DR11" s="220"/>
      <c r="DS11" s="220"/>
      <c r="DT11" s="220"/>
      <c r="DU11" s="220"/>
      <c r="DV11" s="220"/>
      <c r="DW11" s="220"/>
      <c r="DX11" s="220"/>
      <c r="DY11" s="220"/>
      <c r="DZ11" s="220"/>
      <c r="EA11" s="212"/>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12" t="str">
        <f>TEXT(AB11,"#0.00%") &amp; " "</f>
        <v xml:space="preserve">85.15% </v>
      </c>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c r="GE11" s="220"/>
      <c r="GF11" s="220"/>
      <c r="GG11" s="220"/>
      <c r="GH11" s="220"/>
      <c r="GI11" s="220"/>
      <c r="GJ11" s="220"/>
      <c r="GK11" s="220"/>
      <c r="GL11" s="220"/>
      <c r="GM11" s="220"/>
      <c r="GN11" s="220"/>
    </row>
    <row r="12" spans="1:197">
      <c r="A12" s="184"/>
      <c r="B12" s="184" t="s">
        <v>993</v>
      </c>
      <c r="C12" s="184">
        <v>2</v>
      </c>
      <c r="D12" s="195" t="s">
        <v>998</v>
      </c>
      <c r="E12" s="185"/>
      <c r="F12" s="185" t="s">
        <v>333</v>
      </c>
      <c r="G12" s="185"/>
      <c r="H12" s="185"/>
      <c r="I12" s="185"/>
      <c r="J12" s="185"/>
      <c r="K12" s="185"/>
      <c r="L12" s="185"/>
      <c r="M12" s="159">
        <v>42975</v>
      </c>
      <c r="N12" s="159">
        <v>42978</v>
      </c>
      <c r="O12" s="186"/>
      <c r="P12" s="187">
        <v>4</v>
      </c>
      <c r="Q12" s="187">
        <v>4</v>
      </c>
      <c r="R12" s="188">
        <f ca="1">IF(M12="","0",(N12-M12+1)-COUNTIFS(INDIRECT(getCalendarRange(O12)),"&gt;=" &amp; M12,INDIRECT(getCalendarRange(O12)),"&lt;=" &amp; N12))</f>
        <v>4</v>
      </c>
      <c r="S12" s="188">
        <f ca="1">IF(M12&gt;TODAY(),0,IF(N12&lt;TODAY(),R12,(TODAY()-M12+1)-COUNTIFS(INDIRECT(getCalendarRange(O12)),"&gt;=" &amp; M12,INDIRECT(getCalendarRange(O12)),"&lt;=" &amp; TODAY())))</f>
        <v>4</v>
      </c>
      <c r="T12" s="159"/>
      <c r="U12" s="159"/>
      <c r="V12" s="189">
        <v>0</v>
      </c>
      <c r="W12" s="190" t="str">
        <f ca="1">IF(U12="","0",IF(T12="","0",(U12-T12+1)-COUNTIFS(INDIRECT(getCalendarRange(O12)),"&gt;=" &amp; T12,INDIRECT(getCalendarRange(O12)),"&lt;=" &amp; U12)))</f>
        <v>0</v>
      </c>
      <c r="X12" s="191"/>
      <c r="Y12" s="186"/>
      <c r="Z12" s="192"/>
      <c r="AA12" s="193">
        <v>1</v>
      </c>
      <c r="AB12" s="194">
        <v>1</v>
      </c>
      <c r="AC12" s="221"/>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220"/>
      <c r="BJ12" s="220"/>
      <c r="BK12" s="220"/>
      <c r="BL12" s="220"/>
      <c r="BM12" s="220"/>
      <c r="BN12" s="220"/>
      <c r="BO12" s="220"/>
      <c r="BP12" s="220"/>
      <c r="BQ12" s="220"/>
      <c r="BR12" s="220"/>
      <c r="BS12" s="220" t="str">
        <f>F12 &amp; " " &amp; IF(M12="","",TEXT(M12,"M/D-")) &amp; IF(N12="","",TEXT(N12,"M/D")) &amp; " "</f>
        <v xml:space="preserve">분석 8/28-8/31 </v>
      </c>
      <c r="BT12" s="220"/>
      <c r="BU12" s="220"/>
      <c r="BV12" s="220"/>
      <c r="BW12" s="220"/>
      <c r="BX12" s="212" t="str">
        <f>TEXT(AB12,"#0.00%") &amp; " "</f>
        <v xml:space="preserve">100.00% </v>
      </c>
      <c r="BY12" s="220"/>
      <c r="BZ12" s="220"/>
      <c r="CA12" s="220"/>
      <c r="CB12" s="220"/>
      <c r="CC12" s="220"/>
      <c r="CD12" s="220"/>
      <c r="CE12" s="220"/>
      <c r="CF12" s="220"/>
      <c r="CG12" s="220"/>
      <c r="CH12" s="220"/>
      <c r="CI12" s="220"/>
      <c r="CJ12" s="220"/>
      <c r="CK12" s="220"/>
      <c r="CL12" s="220"/>
      <c r="CM12" s="220"/>
      <c r="CN12" s="220"/>
      <c r="CO12" s="220"/>
      <c r="CP12" s="220"/>
      <c r="CQ12" s="220"/>
      <c r="CR12" s="220"/>
      <c r="CS12" s="220"/>
      <c r="CT12" s="220"/>
      <c r="CU12" s="220"/>
      <c r="CV12" s="220"/>
      <c r="CW12" s="220"/>
      <c r="CX12" s="220"/>
      <c r="CY12" s="220"/>
      <c r="CZ12" s="220"/>
      <c r="DA12" s="220"/>
      <c r="DB12" s="220"/>
      <c r="DC12" s="220"/>
      <c r="DD12" s="220"/>
      <c r="DE12" s="220"/>
      <c r="DF12" s="220"/>
      <c r="DG12" s="220"/>
      <c r="DH12" s="220"/>
      <c r="DI12" s="220"/>
      <c r="DJ12" s="220"/>
      <c r="DK12" s="220"/>
      <c r="DL12" s="220"/>
      <c r="DM12" s="220"/>
      <c r="DN12" s="220"/>
      <c r="DO12" s="220"/>
      <c r="DP12" s="220"/>
      <c r="DQ12" s="220"/>
      <c r="DR12" s="220"/>
      <c r="DS12" s="220"/>
      <c r="DT12" s="220"/>
      <c r="DU12" s="220"/>
      <c r="DV12" s="220"/>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c r="GE12" s="220"/>
      <c r="GF12" s="220"/>
      <c r="GG12" s="220"/>
      <c r="GH12" s="220"/>
      <c r="GI12" s="220"/>
      <c r="GJ12" s="220"/>
      <c r="GK12" s="220"/>
      <c r="GL12" s="220"/>
      <c r="GM12" s="220"/>
      <c r="GN12" s="220"/>
    </row>
    <row r="13" spans="1:197">
      <c r="A13" s="184"/>
      <c r="B13" s="184"/>
      <c r="C13" s="184">
        <v>3</v>
      </c>
      <c r="D13" s="195" t="s">
        <v>985</v>
      </c>
      <c r="E13" s="185"/>
      <c r="F13" s="185"/>
      <c r="G13" s="185" t="s">
        <v>950</v>
      </c>
      <c r="H13" s="185"/>
      <c r="I13" s="185"/>
      <c r="J13" s="185"/>
      <c r="K13" s="185"/>
      <c r="L13" s="185"/>
      <c r="M13" s="159">
        <v>42975</v>
      </c>
      <c r="N13" s="159">
        <v>42978</v>
      </c>
      <c r="O13" s="186"/>
      <c r="P13" s="187">
        <v>4</v>
      </c>
      <c r="Q13" s="187">
        <v>4</v>
      </c>
      <c r="R13" s="188">
        <f ca="1">IF(M13="","0",(N13-M13+1)-COUNTIFS(INDIRECT(getCalendarRange(O13)),"&gt;=" &amp; M13,INDIRECT(getCalendarRange(O13)),"&lt;=" &amp; N13))</f>
        <v>4</v>
      </c>
      <c r="S13" s="188">
        <f ca="1">IF(M13&gt;TODAY(),0,IF(N13&lt;TODAY(),R13,(TODAY()-M13+1)-COUNTIFS(INDIRECT(getCalendarRange(O13)),"&gt;=" &amp; M13,INDIRECT(getCalendarRange(O13)),"&lt;=" &amp; TODAY())))</f>
        <v>4</v>
      </c>
      <c r="T13" s="159"/>
      <c r="U13" s="159"/>
      <c r="V13" s="189"/>
      <c r="W13" s="190" t="str">
        <f ca="1">IF(U13="","0",IF(T13="","0",(U13-T13+1)-COUNTIFS(INDIRECT(getCalendarRange(O13)),"&gt;=" &amp; T13,INDIRECT(getCalendarRange(O13)),"&lt;=" &amp; U13)))</f>
        <v>0</v>
      </c>
      <c r="X13" s="191">
        <v>1</v>
      </c>
      <c r="Y13" s="186"/>
      <c r="Z13" s="192"/>
      <c r="AA13" s="193">
        <v>1</v>
      </c>
      <c r="AB13" s="194">
        <v>1</v>
      </c>
      <c r="AC13" s="221"/>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0"/>
      <c r="BN13" s="220"/>
      <c r="BO13" s="220"/>
      <c r="BP13" s="220"/>
      <c r="BQ13" s="220"/>
      <c r="BR13" s="220"/>
      <c r="BS13" s="220" t="str">
        <f>G13 &amp; " " &amp; IF(M13="","",TEXT(M13,"M/D-")) &amp; IF(N13="","",TEXT(N13,"M/D")) &amp; " "</f>
        <v xml:space="preserve">요구사항정의 8/28-8/31 </v>
      </c>
      <c r="BT13" s="220"/>
      <c r="BU13" s="220"/>
      <c r="BV13" s="220"/>
      <c r="BW13" s="220"/>
      <c r="BX13" s="212" t="str">
        <f>TEXT(AB13,"#0.00%") &amp; " "</f>
        <v xml:space="preserve">100.00% </v>
      </c>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0"/>
      <c r="DV13" s="220"/>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c r="GA13" s="220"/>
      <c r="GB13" s="220"/>
      <c r="GC13" s="220"/>
      <c r="GD13" s="220"/>
      <c r="GE13" s="220"/>
      <c r="GF13" s="220"/>
      <c r="GG13" s="220"/>
      <c r="GH13" s="220"/>
      <c r="GI13" s="220"/>
      <c r="GJ13" s="220"/>
      <c r="GK13" s="220"/>
      <c r="GL13" s="220"/>
      <c r="GM13" s="220"/>
      <c r="GN13" s="220"/>
    </row>
    <row r="14" spans="1:197">
      <c r="A14" s="184"/>
      <c r="B14" s="184" t="s">
        <v>993</v>
      </c>
      <c r="C14" s="184">
        <v>2</v>
      </c>
      <c r="D14" s="195" t="s">
        <v>999</v>
      </c>
      <c r="E14" s="185"/>
      <c r="F14" s="185" t="s">
        <v>951</v>
      </c>
      <c r="G14" s="185"/>
      <c r="H14" s="185"/>
      <c r="I14" s="185"/>
      <c r="J14" s="185"/>
      <c r="K14" s="185"/>
      <c r="L14" s="185"/>
      <c r="M14" s="159">
        <v>42975</v>
      </c>
      <c r="N14" s="159">
        <v>42982</v>
      </c>
      <c r="O14" s="186"/>
      <c r="P14" s="187">
        <v>6</v>
      </c>
      <c r="Q14" s="187">
        <v>6</v>
      </c>
      <c r="R14" s="188">
        <f ca="1">IF(M14="","0",(N14-M14+1)-COUNTIFS(INDIRECT(getCalendarRange(O14)),"&gt;=" &amp; M14,INDIRECT(getCalendarRange(O14)),"&lt;=" &amp; N14))</f>
        <v>6</v>
      </c>
      <c r="S14" s="188">
        <f ca="1">IF(M14&gt;TODAY(),0,IF(N14&lt;TODAY(),R14,(TODAY()-M14+1)-COUNTIFS(INDIRECT(getCalendarRange(O14)),"&gt;=" &amp; M14,INDIRECT(getCalendarRange(O14)),"&lt;=" &amp; TODAY())))</f>
        <v>6</v>
      </c>
      <c r="T14" s="159"/>
      <c r="U14" s="159"/>
      <c r="V14" s="189">
        <v>0</v>
      </c>
      <c r="W14" s="190" t="str">
        <f ca="1">IF(U14="","0",IF(T14="","0",(U14-T14+1)-COUNTIFS(INDIRECT(getCalendarRange(O14)),"&gt;=" &amp; T14,INDIRECT(getCalendarRange(O14)),"&lt;=" &amp; U14)))</f>
        <v>0</v>
      </c>
      <c r="X14" s="191"/>
      <c r="Y14" s="186"/>
      <c r="Z14" s="192"/>
      <c r="AA14" s="193">
        <v>1</v>
      </c>
      <c r="AB14" s="194">
        <v>1</v>
      </c>
      <c r="AC14" s="221"/>
      <c r="AD14" s="220"/>
      <c r="AE14" s="220"/>
      <c r="AF14" s="220"/>
      <c r="AG14" s="220"/>
      <c r="AH14" s="220"/>
      <c r="AI14" s="220"/>
      <c r="AJ14" s="220"/>
      <c r="AK14" s="220"/>
      <c r="AL14" s="220"/>
      <c r="AM14" s="220"/>
      <c r="AN14" s="220"/>
      <c r="AO14" s="220"/>
      <c r="AP14" s="220"/>
      <c r="AQ14" s="220"/>
      <c r="AR14" s="220"/>
      <c r="AS14" s="220"/>
      <c r="AT14" s="220"/>
      <c r="AU14" s="220"/>
      <c r="AV14" s="220"/>
      <c r="AW14" s="220"/>
      <c r="AX14" s="220"/>
      <c r="AY14" s="220"/>
      <c r="AZ14" s="220"/>
      <c r="BA14" s="220"/>
      <c r="BB14" s="220"/>
      <c r="BC14" s="220"/>
      <c r="BD14" s="220"/>
      <c r="BE14" s="220"/>
      <c r="BF14" s="220"/>
      <c r="BG14" s="220"/>
      <c r="BH14" s="220"/>
      <c r="BI14" s="220"/>
      <c r="BJ14" s="220"/>
      <c r="BK14" s="220"/>
      <c r="BL14" s="220"/>
      <c r="BM14" s="220"/>
      <c r="BN14" s="220"/>
      <c r="BO14" s="220"/>
      <c r="BP14" s="220"/>
      <c r="BQ14" s="220"/>
      <c r="BR14" s="220"/>
      <c r="BS14" s="220" t="str">
        <f>F14 &amp; " " &amp; IF(M14="","",TEXT(M14,"M/D-")) &amp; IF(N14="","",TEXT(N14,"M/D")) &amp; " "</f>
        <v xml:space="preserve">설계 8/28-9/4 </v>
      </c>
      <c r="BT14" s="220"/>
      <c r="BU14" s="220"/>
      <c r="BV14" s="220"/>
      <c r="BW14" s="220"/>
      <c r="BX14" s="220"/>
      <c r="BY14" s="220"/>
      <c r="BZ14" s="220"/>
      <c r="CA14" s="220"/>
      <c r="CB14" s="212" t="str">
        <f>TEXT(AB14,"#0.00%") &amp; " "</f>
        <v xml:space="preserve">100.00% </v>
      </c>
      <c r="CC14" s="220"/>
      <c r="CD14" s="220"/>
      <c r="CE14" s="220"/>
      <c r="CF14" s="220"/>
      <c r="CG14" s="220"/>
      <c r="CH14" s="220"/>
      <c r="CI14" s="220"/>
      <c r="CJ14" s="220"/>
      <c r="CK14" s="220"/>
      <c r="CL14" s="220"/>
      <c r="CM14" s="220"/>
      <c r="CN14" s="220"/>
      <c r="CO14" s="220"/>
      <c r="CP14" s="220"/>
      <c r="CQ14" s="220"/>
      <c r="CR14" s="220"/>
      <c r="CS14" s="220"/>
      <c r="CT14" s="220"/>
      <c r="CU14" s="220"/>
      <c r="CV14" s="220"/>
      <c r="CW14" s="220"/>
      <c r="CX14" s="220"/>
      <c r="CY14" s="220"/>
      <c r="CZ14" s="220"/>
      <c r="DA14" s="220"/>
      <c r="DB14" s="220"/>
      <c r="DC14" s="220"/>
      <c r="DD14" s="220"/>
      <c r="DE14" s="220"/>
      <c r="DF14" s="220"/>
      <c r="DG14" s="220"/>
      <c r="DH14" s="220"/>
      <c r="DI14" s="220"/>
      <c r="DJ14" s="220"/>
      <c r="DK14" s="220"/>
      <c r="DL14" s="220"/>
      <c r="DM14" s="220"/>
      <c r="DN14" s="220"/>
      <c r="DO14" s="220"/>
      <c r="DP14" s="220"/>
      <c r="DQ14" s="220"/>
      <c r="DR14" s="220"/>
      <c r="DS14" s="220"/>
      <c r="DT14" s="220"/>
      <c r="DU14" s="220"/>
      <c r="DV14" s="220"/>
      <c r="DW14" s="220"/>
      <c r="DX14" s="220"/>
      <c r="DY14" s="220"/>
      <c r="DZ14" s="220"/>
      <c r="EA14" s="220"/>
      <c r="EB14" s="220"/>
      <c r="EC14" s="220"/>
      <c r="ED14" s="220"/>
      <c r="EE14" s="220"/>
      <c r="EF14" s="220"/>
      <c r="EG14" s="220"/>
      <c r="EH14" s="220"/>
      <c r="EI14" s="220"/>
      <c r="EJ14" s="220"/>
      <c r="EK14" s="220"/>
      <c r="EL14" s="220"/>
      <c r="EM14" s="220"/>
      <c r="EN14" s="220"/>
      <c r="EO14" s="220"/>
      <c r="EP14" s="220"/>
      <c r="EQ14" s="220"/>
      <c r="ER14" s="220"/>
      <c r="ES14" s="220"/>
      <c r="ET14" s="220"/>
      <c r="EU14" s="220"/>
      <c r="EV14" s="220"/>
      <c r="EW14" s="220"/>
      <c r="EX14" s="220"/>
      <c r="EY14" s="220"/>
      <c r="EZ14" s="220"/>
      <c r="FA14" s="220"/>
      <c r="FB14" s="220"/>
      <c r="FC14" s="220"/>
      <c r="FD14" s="220"/>
      <c r="FE14" s="220"/>
      <c r="FF14" s="220"/>
      <c r="FG14" s="220"/>
      <c r="FH14" s="220"/>
      <c r="FI14" s="220"/>
      <c r="FJ14" s="220"/>
      <c r="FK14" s="220"/>
      <c r="FL14" s="220"/>
      <c r="FM14" s="220"/>
      <c r="FN14" s="220"/>
      <c r="FO14" s="220"/>
      <c r="FP14" s="220"/>
      <c r="FQ14" s="220"/>
      <c r="FR14" s="220"/>
      <c r="FS14" s="220"/>
      <c r="FT14" s="220"/>
      <c r="FU14" s="220"/>
      <c r="FV14" s="220"/>
      <c r="FW14" s="220"/>
      <c r="FX14" s="220"/>
      <c r="FY14" s="220"/>
      <c r="FZ14" s="220"/>
      <c r="GA14" s="220"/>
      <c r="GB14" s="220"/>
      <c r="GC14" s="220"/>
      <c r="GD14" s="220"/>
      <c r="GE14" s="220"/>
      <c r="GF14" s="220"/>
      <c r="GG14" s="220"/>
      <c r="GH14" s="220"/>
      <c r="GI14" s="220"/>
      <c r="GJ14" s="220"/>
      <c r="GK14" s="220"/>
      <c r="GL14" s="220"/>
      <c r="GM14" s="220"/>
      <c r="GN14" s="220"/>
    </row>
    <row r="15" spans="1:197">
      <c r="A15" s="184"/>
      <c r="B15" s="184"/>
      <c r="C15" s="184">
        <v>3</v>
      </c>
      <c r="D15" s="195" t="s">
        <v>986</v>
      </c>
      <c r="E15" s="185"/>
      <c r="F15" s="185"/>
      <c r="G15" s="185" t="s">
        <v>952</v>
      </c>
      <c r="H15" s="185"/>
      <c r="I15" s="185"/>
      <c r="J15" s="185"/>
      <c r="K15" s="185"/>
      <c r="L15" s="185"/>
      <c r="M15" s="159">
        <v>42975</v>
      </c>
      <c r="N15" s="159">
        <v>42982</v>
      </c>
      <c r="O15" s="186"/>
      <c r="P15" s="187">
        <v>6</v>
      </c>
      <c r="Q15" s="187">
        <v>6</v>
      </c>
      <c r="R15" s="188">
        <f ca="1">IF(M15="","0",(N15-M15+1)-COUNTIFS(INDIRECT(getCalendarRange(O15)),"&gt;=" &amp; M15,INDIRECT(getCalendarRange(O15)),"&lt;=" &amp; N15))</f>
        <v>6</v>
      </c>
      <c r="S15" s="188">
        <f ca="1">IF(M15&gt;TODAY(),0,IF(N15&lt;TODAY(),R15,(TODAY()-M15+1)-COUNTIFS(INDIRECT(getCalendarRange(O15)),"&gt;=" &amp; M15,INDIRECT(getCalendarRange(O15)),"&lt;=" &amp; TODAY())))</f>
        <v>6</v>
      </c>
      <c r="T15" s="159"/>
      <c r="U15" s="159"/>
      <c r="V15" s="189"/>
      <c r="W15" s="190" t="str">
        <f ca="1">IF(U15="","0",IF(T15="","0",(U15-T15+1)-COUNTIFS(INDIRECT(getCalendarRange(O15)),"&gt;=" &amp; T15,INDIRECT(getCalendarRange(O15)),"&lt;=" &amp; U15)))</f>
        <v>0</v>
      </c>
      <c r="X15" s="191">
        <v>1</v>
      </c>
      <c r="Y15" s="186"/>
      <c r="Z15" s="192" t="s">
        <v>1068</v>
      </c>
      <c r="AA15" s="193">
        <v>1</v>
      </c>
      <c r="AB15" s="194">
        <v>1</v>
      </c>
      <c r="AC15" s="221"/>
      <c r="AD15" s="220"/>
      <c r="AE15" s="220"/>
      <c r="AF15" s="220"/>
      <c r="AG15" s="220"/>
      <c r="AH15" s="220"/>
      <c r="AI15" s="220"/>
      <c r="AJ15" s="220"/>
      <c r="AK15" s="220"/>
      <c r="AL15" s="220"/>
      <c r="AM15" s="220"/>
      <c r="AN15" s="220"/>
      <c r="AO15" s="220"/>
      <c r="AP15" s="220"/>
      <c r="AQ15" s="220"/>
      <c r="AR15" s="220"/>
      <c r="AS15" s="220"/>
      <c r="AT15" s="220"/>
      <c r="AU15" s="220"/>
      <c r="AV15" s="220"/>
      <c r="AW15" s="220"/>
      <c r="AX15" s="220"/>
      <c r="AY15" s="220"/>
      <c r="AZ15" s="220"/>
      <c r="BA15" s="220"/>
      <c r="BB15" s="220"/>
      <c r="BC15" s="220"/>
      <c r="BD15" s="220"/>
      <c r="BE15" s="220"/>
      <c r="BF15" s="220"/>
      <c r="BG15" s="220"/>
      <c r="BH15" s="220"/>
      <c r="BI15" s="220"/>
      <c r="BJ15" s="220"/>
      <c r="BK15" s="220"/>
      <c r="BL15" s="220"/>
      <c r="BM15" s="220"/>
      <c r="BN15" s="220"/>
      <c r="BO15" s="220"/>
      <c r="BP15" s="220"/>
      <c r="BQ15" s="220"/>
      <c r="BR15" s="220"/>
      <c r="BS15" s="220" t="str">
        <f>G15 &amp; " " &amp; IF(M15="","",TEXT(M15,"M/D-")) &amp; IF(N15="","",TEXT(N15,"M/D")) &amp; " "</f>
        <v xml:space="preserve">UI 설계 8/28-9/4 </v>
      </c>
      <c r="BT15" s="220"/>
      <c r="BU15" s="220"/>
      <c r="BV15" s="220"/>
      <c r="BW15" s="220"/>
      <c r="BX15" s="220"/>
      <c r="BY15" s="220"/>
      <c r="BZ15" s="220"/>
      <c r="CA15" s="220"/>
      <c r="CB15" s="212" t="str">
        <f>TEXT(AB15,"#0.00%") &amp; " "</f>
        <v xml:space="preserve">100.00% </v>
      </c>
      <c r="CC15" s="220"/>
      <c r="CD15" s="220"/>
      <c r="CE15" s="220"/>
      <c r="CF15" s="220"/>
      <c r="CG15" s="220"/>
      <c r="CH15" s="220"/>
      <c r="CI15" s="220"/>
      <c r="CJ15" s="220"/>
      <c r="CK15" s="220"/>
      <c r="CL15" s="220"/>
      <c r="CM15" s="220"/>
      <c r="CN15" s="220"/>
      <c r="CO15" s="220"/>
      <c r="CP15" s="220"/>
      <c r="CQ15" s="220"/>
      <c r="CR15" s="220"/>
      <c r="CS15" s="220"/>
      <c r="CT15" s="220"/>
      <c r="CU15" s="220"/>
      <c r="CV15" s="220"/>
      <c r="CW15" s="220"/>
      <c r="CX15" s="220"/>
      <c r="CY15" s="220"/>
      <c r="CZ15" s="220"/>
      <c r="DA15" s="220"/>
      <c r="DB15" s="220"/>
      <c r="DC15" s="220"/>
      <c r="DD15" s="220"/>
      <c r="DE15" s="220"/>
      <c r="DF15" s="220"/>
      <c r="DG15" s="220"/>
      <c r="DH15" s="220"/>
      <c r="DI15" s="220"/>
      <c r="DJ15" s="220"/>
      <c r="DK15" s="220"/>
      <c r="DL15" s="220"/>
      <c r="DM15" s="220"/>
      <c r="DN15" s="220"/>
      <c r="DO15" s="220"/>
      <c r="DP15" s="220"/>
      <c r="DQ15" s="220"/>
      <c r="DR15" s="220"/>
      <c r="DS15" s="220"/>
      <c r="DT15" s="220"/>
      <c r="DU15" s="220"/>
      <c r="DV15" s="220"/>
      <c r="DW15" s="220"/>
      <c r="DX15" s="220"/>
      <c r="DY15" s="220"/>
      <c r="DZ15" s="220"/>
      <c r="EA15" s="220"/>
      <c r="EB15" s="220"/>
      <c r="EC15" s="220"/>
      <c r="ED15" s="220"/>
      <c r="EE15" s="220"/>
      <c r="EF15" s="220"/>
      <c r="EG15" s="220"/>
      <c r="EH15" s="220"/>
      <c r="EI15" s="220"/>
      <c r="EJ15" s="220"/>
      <c r="EK15" s="220"/>
      <c r="EL15" s="220"/>
      <c r="EM15" s="220"/>
      <c r="EN15" s="220"/>
      <c r="EO15" s="220"/>
      <c r="EP15" s="220"/>
      <c r="EQ15" s="220"/>
      <c r="ER15" s="220"/>
      <c r="ES15" s="220"/>
      <c r="ET15" s="220"/>
      <c r="EU15" s="220"/>
      <c r="EV15" s="220"/>
      <c r="EW15" s="220"/>
      <c r="EX15" s="220"/>
      <c r="EY15" s="220"/>
      <c r="EZ15" s="220"/>
      <c r="FA15" s="220"/>
      <c r="FB15" s="220"/>
      <c r="FC15" s="220"/>
      <c r="FD15" s="220"/>
      <c r="FE15" s="220"/>
      <c r="FF15" s="220"/>
      <c r="FG15" s="220"/>
      <c r="FH15" s="220"/>
      <c r="FI15" s="220"/>
      <c r="FJ15" s="220"/>
      <c r="FK15" s="220"/>
      <c r="FL15" s="220"/>
      <c r="FM15" s="220"/>
      <c r="FN15" s="220"/>
      <c r="FO15" s="220"/>
      <c r="FP15" s="220"/>
      <c r="FQ15" s="220"/>
      <c r="FR15" s="220"/>
      <c r="FS15" s="220"/>
      <c r="FT15" s="220"/>
      <c r="FU15" s="220"/>
      <c r="FV15" s="220"/>
      <c r="FW15" s="220"/>
      <c r="FX15" s="220"/>
      <c r="FY15" s="220"/>
      <c r="FZ15" s="220"/>
      <c r="GA15" s="220"/>
      <c r="GB15" s="220"/>
      <c r="GC15" s="220"/>
      <c r="GD15" s="220"/>
      <c r="GE15" s="220"/>
      <c r="GF15" s="220"/>
      <c r="GG15" s="220"/>
      <c r="GH15" s="220"/>
      <c r="GI15" s="220"/>
      <c r="GJ15" s="220"/>
      <c r="GK15" s="220"/>
      <c r="GL15" s="220"/>
      <c r="GM15" s="220"/>
      <c r="GN15" s="220"/>
    </row>
    <row r="16" spans="1:197">
      <c r="A16" s="184"/>
      <c r="B16" s="184" t="s">
        <v>993</v>
      </c>
      <c r="C16" s="184">
        <v>2</v>
      </c>
      <c r="D16" s="195" t="s">
        <v>1000</v>
      </c>
      <c r="E16" s="185"/>
      <c r="F16" s="185" t="s">
        <v>953</v>
      </c>
      <c r="G16" s="185"/>
      <c r="H16" s="185"/>
      <c r="I16" s="185"/>
      <c r="J16" s="185"/>
      <c r="K16" s="185"/>
      <c r="L16" s="185"/>
      <c r="M16" s="159">
        <v>42991</v>
      </c>
      <c r="N16" s="159">
        <v>43079</v>
      </c>
      <c r="O16" s="186"/>
      <c r="P16" s="187">
        <v>125</v>
      </c>
      <c r="Q16" s="187">
        <v>83</v>
      </c>
      <c r="R16" s="188">
        <f ca="1">IF(M16="","0",(N16-M16+1)-COUNTIFS(INDIRECT(getCalendarRange(O16)),"&gt;=" &amp; M16,INDIRECT(getCalendarRange(O16)),"&lt;=" &amp; N16))</f>
        <v>58</v>
      </c>
      <c r="S16" s="188">
        <f ca="1">IF(M16&gt;TODAY(),0,IF(N16&lt;TODAY(),R16,(TODAY()-M16+1)-COUNTIFS(INDIRECT(getCalendarRange(O16)),"&gt;=" &amp; M16,INDIRECT(getCalendarRange(O16)),"&lt;=" &amp; TODAY())))</f>
        <v>33</v>
      </c>
      <c r="T16" s="159"/>
      <c r="U16" s="159"/>
      <c r="V16" s="189">
        <v>0</v>
      </c>
      <c r="W16" s="190" t="str">
        <f ca="1">IF(U16="","0",IF(T16="","0",(U16-T16+1)-COUNTIFS(INDIRECT(getCalendarRange(O16)),"&gt;=" &amp; T16,INDIRECT(getCalendarRange(O16)),"&lt;=" &amp; U16)))</f>
        <v>0</v>
      </c>
      <c r="X16" s="191"/>
      <c r="Y16" s="186"/>
      <c r="Z16" s="192"/>
      <c r="AA16" s="193">
        <v>0.66400000000000003</v>
      </c>
      <c r="AB16" s="194">
        <v>0.83960000000000001</v>
      </c>
      <c r="AC16" s="221"/>
      <c r="AD16" s="220"/>
      <c r="AE16" s="220"/>
      <c r="AF16" s="220"/>
      <c r="AG16" s="220"/>
      <c r="AH16" s="220"/>
      <c r="AI16" s="220"/>
      <c r="AJ16" s="220"/>
      <c r="AK16" s="220"/>
      <c r="AL16" s="220"/>
      <c r="AM16" s="220"/>
      <c r="AN16" s="220"/>
      <c r="AO16" s="220"/>
      <c r="AP16" s="220"/>
      <c r="AQ16" s="220"/>
      <c r="AR16" s="220"/>
      <c r="AS16" s="220"/>
      <c r="AT16" s="220"/>
      <c r="AU16" s="220"/>
      <c r="AV16" s="220"/>
      <c r="AW16" s="220"/>
      <c r="AX16" s="220"/>
      <c r="AY16" s="220"/>
      <c r="AZ16" s="220"/>
      <c r="BA16" s="220"/>
      <c r="BB16" s="220"/>
      <c r="BC16" s="220"/>
      <c r="BD16" s="220"/>
      <c r="BE16" s="220"/>
      <c r="BF16" s="220"/>
      <c r="BG16" s="220"/>
      <c r="BH16" s="220"/>
      <c r="BI16" s="220"/>
      <c r="BJ16" s="220"/>
      <c r="BK16" s="220"/>
      <c r="BL16" s="220"/>
      <c r="BM16" s="220"/>
      <c r="BN16" s="220"/>
      <c r="BO16" s="220"/>
      <c r="BP16" s="220"/>
      <c r="BQ16" s="220"/>
      <c r="BR16" s="220"/>
      <c r="BS16" s="220"/>
      <c r="BT16" s="220"/>
      <c r="BU16" s="220"/>
      <c r="BV16" s="220"/>
      <c r="BW16" s="220"/>
      <c r="BX16" s="220"/>
      <c r="BY16" s="220"/>
      <c r="BZ16" s="220"/>
      <c r="CA16" s="220"/>
      <c r="CB16" s="220"/>
      <c r="CC16" s="220"/>
      <c r="CD16" s="220"/>
      <c r="CE16" s="220"/>
      <c r="CF16" s="220"/>
      <c r="CG16" s="220"/>
      <c r="CH16" s="220"/>
      <c r="CI16" s="220" t="str">
        <f>F16 &amp; " " &amp; IF(M16="","",TEXT(M16,"M/D-")) &amp; IF(N16="","",TEXT(N16,"M/D")) &amp; " "</f>
        <v xml:space="preserve">개발 9/13-12/10 </v>
      </c>
      <c r="CJ16" s="220"/>
      <c r="CK16" s="220"/>
      <c r="CL16" s="220"/>
      <c r="CM16" s="220"/>
      <c r="CN16" s="220"/>
      <c r="CO16" s="220"/>
      <c r="CP16" s="220"/>
      <c r="CQ16" s="220"/>
      <c r="CR16" s="220"/>
      <c r="CS16" s="220"/>
      <c r="CT16" s="220"/>
      <c r="CU16" s="212"/>
      <c r="CV16" s="212"/>
      <c r="CW16" s="220"/>
      <c r="CX16" s="220"/>
      <c r="CY16" s="220"/>
      <c r="CZ16" s="220"/>
      <c r="DA16" s="220"/>
      <c r="DB16" s="220"/>
      <c r="DC16" s="220"/>
      <c r="DD16" s="220"/>
      <c r="DE16" s="220"/>
      <c r="DF16" s="220"/>
      <c r="DG16" s="220"/>
      <c r="DH16" s="220"/>
      <c r="DI16" s="220"/>
      <c r="DJ16" s="220"/>
      <c r="DK16" s="220"/>
      <c r="DL16" s="220"/>
      <c r="DM16" s="220"/>
      <c r="DN16" s="220"/>
      <c r="DO16" s="220"/>
      <c r="DP16" s="220"/>
      <c r="DQ16" s="220"/>
      <c r="DR16" s="220"/>
      <c r="DS16" s="220"/>
      <c r="DT16" s="220"/>
      <c r="DU16" s="220"/>
      <c r="DV16" s="220"/>
      <c r="DW16" s="220"/>
      <c r="DX16" s="220"/>
      <c r="DY16" s="220"/>
      <c r="DZ16" s="220"/>
      <c r="EA16" s="220"/>
      <c r="EB16" s="220"/>
      <c r="EC16" s="220"/>
      <c r="ED16" s="220"/>
      <c r="EE16" s="212"/>
      <c r="EF16" s="220"/>
      <c r="EG16" s="220"/>
      <c r="EH16" s="220"/>
      <c r="EI16" s="220"/>
      <c r="EJ16" s="220"/>
      <c r="EK16" s="220"/>
      <c r="EL16" s="220"/>
      <c r="EM16" s="220"/>
      <c r="EN16" s="220"/>
      <c r="EO16" s="220"/>
      <c r="EP16" s="220"/>
      <c r="EQ16" s="220"/>
      <c r="ER16" s="220"/>
      <c r="ES16" s="220"/>
      <c r="ET16" s="220"/>
      <c r="EU16" s="220"/>
      <c r="EV16" s="220"/>
      <c r="EW16" s="220"/>
      <c r="EX16" s="220"/>
      <c r="EY16" s="220"/>
      <c r="EZ16" s="220"/>
      <c r="FA16" s="220"/>
      <c r="FB16" s="220"/>
      <c r="FC16" s="220"/>
      <c r="FD16" s="220"/>
      <c r="FE16" s="220"/>
      <c r="FF16" s="220"/>
      <c r="FG16" s="212" t="str">
        <f>TEXT(AB16,"#0.00%") &amp; " "</f>
        <v xml:space="preserve">83.96% </v>
      </c>
      <c r="FH16" s="220"/>
      <c r="FI16" s="220"/>
      <c r="FJ16" s="220"/>
      <c r="FK16" s="220"/>
      <c r="FL16" s="220"/>
      <c r="FM16" s="220"/>
      <c r="FN16" s="220"/>
      <c r="FO16" s="220"/>
      <c r="FP16" s="220"/>
      <c r="FQ16" s="220"/>
      <c r="FR16" s="220"/>
      <c r="FS16" s="220"/>
      <c r="FT16" s="220"/>
      <c r="FU16" s="220"/>
      <c r="FV16" s="220"/>
      <c r="FW16" s="220"/>
      <c r="FX16" s="220"/>
      <c r="FY16" s="220"/>
      <c r="FZ16" s="220"/>
      <c r="GA16" s="220"/>
      <c r="GB16" s="220"/>
      <c r="GC16" s="220"/>
      <c r="GD16" s="220"/>
      <c r="GE16" s="220"/>
      <c r="GF16" s="220"/>
      <c r="GG16" s="220"/>
      <c r="GH16" s="220"/>
      <c r="GI16" s="220"/>
      <c r="GJ16" s="220"/>
      <c r="GK16" s="220"/>
      <c r="GL16" s="220"/>
      <c r="GM16" s="220"/>
      <c r="GN16" s="220"/>
    </row>
    <row r="17" spans="1:196">
      <c r="A17" s="184"/>
      <c r="B17" s="184" t="s">
        <v>993</v>
      </c>
      <c r="C17" s="184">
        <v>3</v>
      </c>
      <c r="D17" s="195" t="s">
        <v>1001</v>
      </c>
      <c r="E17" s="185"/>
      <c r="F17" s="185"/>
      <c r="G17" s="185" t="s">
        <v>954</v>
      </c>
      <c r="H17" s="185"/>
      <c r="I17" s="185"/>
      <c r="J17" s="185"/>
      <c r="K17" s="185"/>
      <c r="L17" s="185"/>
      <c r="M17" s="159">
        <v>42991</v>
      </c>
      <c r="N17" s="159">
        <v>43079</v>
      </c>
      <c r="O17" s="186"/>
      <c r="P17" s="187">
        <v>116</v>
      </c>
      <c r="Q17" s="187">
        <v>83</v>
      </c>
      <c r="R17" s="188">
        <f ca="1">IF(M17="","0",(N17-M17+1)-COUNTIFS(INDIRECT(getCalendarRange(O17)),"&gt;=" &amp; M17,INDIRECT(getCalendarRange(O17)),"&lt;=" &amp; N17))</f>
        <v>58</v>
      </c>
      <c r="S17" s="188">
        <f ca="1">IF(M17&gt;TODAY(),0,IF(N17&lt;TODAY(),R17,(TODAY()-M17+1)-COUNTIFS(INDIRECT(getCalendarRange(O17)),"&gt;=" &amp; M17,INDIRECT(getCalendarRange(O17)),"&lt;=" &amp; TODAY())))</f>
        <v>33</v>
      </c>
      <c r="T17" s="159"/>
      <c r="U17" s="159"/>
      <c r="V17" s="189">
        <v>0</v>
      </c>
      <c r="W17" s="190" t="str">
        <f ca="1">IF(U17="","0",IF(T17="","0",(U17-T17+1)-COUNTIFS(INDIRECT(getCalendarRange(O17)),"&gt;=" &amp; T17,INDIRECT(getCalendarRange(O17)),"&lt;=" &amp; U17)))</f>
        <v>0</v>
      </c>
      <c r="X17" s="191"/>
      <c r="Y17" s="186"/>
      <c r="Z17" s="192"/>
      <c r="AA17" s="193">
        <v>0.71551724137931039</v>
      </c>
      <c r="AB17" s="194">
        <v>0.90474137931034482</v>
      </c>
      <c r="AC17" s="221"/>
      <c r="AD17" s="220"/>
      <c r="AE17" s="220"/>
      <c r="AF17" s="220"/>
      <c r="AG17" s="220"/>
      <c r="AH17" s="220"/>
      <c r="AI17" s="220"/>
      <c r="AJ17" s="220"/>
      <c r="AK17" s="220"/>
      <c r="AL17" s="220"/>
      <c r="AM17" s="220"/>
      <c r="AN17" s="220"/>
      <c r="AO17" s="220"/>
      <c r="AP17" s="220"/>
      <c r="AQ17" s="220"/>
      <c r="AR17" s="220"/>
      <c r="AS17" s="220"/>
      <c r="AT17" s="220"/>
      <c r="AU17" s="220"/>
      <c r="AV17" s="220"/>
      <c r="AW17" s="220"/>
      <c r="AX17" s="220"/>
      <c r="AY17" s="220"/>
      <c r="AZ17" s="220"/>
      <c r="BA17" s="220"/>
      <c r="BB17" s="220"/>
      <c r="BC17" s="220"/>
      <c r="BD17" s="220"/>
      <c r="BE17" s="220"/>
      <c r="BF17" s="220"/>
      <c r="BG17" s="220"/>
      <c r="BH17" s="220"/>
      <c r="BI17" s="220"/>
      <c r="BJ17" s="220"/>
      <c r="BK17" s="220"/>
      <c r="BL17" s="220"/>
      <c r="BM17" s="220"/>
      <c r="BN17" s="220"/>
      <c r="BO17" s="220"/>
      <c r="BP17" s="220"/>
      <c r="BQ17" s="220"/>
      <c r="BR17" s="220"/>
      <c r="BS17" s="220"/>
      <c r="BT17" s="220"/>
      <c r="BU17" s="220"/>
      <c r="BV17" s="220"/>
      <c r="BW17" s="220"/>
      <c r="BX17" s="220"/>
      <c r="BY17" s="220"/>
      <c r="BZ17" s="220"/>
      <c r="CA17" s="220"/>
      <c r="CB17" s="220"/>
      <c r="CC17" s="220"/>
      <c r="CD17" s="220"/>
      <c r="CE17" s="220"/>
      <c r="CF17" s="220"/>
      <c r="CG17" s="220"/>
      <c r="CH17" s="220"/>
      <c r="CI17" s="220" t="str">
        <f>G17 &amp; " " &amp; IF(M17="","",TEXT(M17,"M/D-")) &amp; IF(N17="","",TEXT(N17,"M/D")) &amp; " "</f>
        <v xml:space="preserve">프로그램 개발 9/13-12/10 </v>
      </c>
      <c r="CJ17" s="220"/>
      <c r="CK17" s="220"/>
      <c r="CL17" s="220"/>
      <c r="CM17" s="220"/>
      <c r="CN17" s="220"/>
      <c r="CO17" s="220"/>
      <c r="CP17" s="220"/>
      <c r="CQ17" s="220"/>
      <c r="CR17" s="220"/>
      <c r="CS17" s="220"/>
      <c r="CT17" s="220"/>
      <c r="CU17" s="220"/>
      <c r="CV17" s="212"/>
      <c r="CW17" s="212"/>
      <c r="CX17" s="220"/>
      <c r="CY17" s="220"/>
      <c r="CZ17" s="220"/>
      <c r="DA17" s="220"/>
      <c r="DB17" s="220"/>
      <c r="DC17" s="220"/>
      <c r="DD17" s="220"/>
      <c r="DE17" s="220"/>
      <c r="DF17" s="220"/>
      <c r="DG17" s="220"/>
      <c r="DH17" s="220"/>
      <c r="DI17" s="220"/>
      <c r="DJ17" s="220"/>
      <c r="DK17" s="220"/>
      <c r="DL17" s="220"/>
      <c r="DM17" s="220"/>
      <c r="DN17" s="220"/>
      <c r="DO17" s="220"/>
      <c r="DP17" s="220"/>
      <c r="DQ17" s="220"/>
      <c r="DR17" s="220"/>
      <c r="DS17" s="220"/>
      <c r="DT17" s="220"/>
      <c r="DU17" s="220"/>
      <c r="DV17" s="220"/>
      <c r="DW17" s="220"/>
      <c r="DX17" s="220"/>
      <c r="DY17" s="220"/>
      <c r="DZ17" s="220"/>
      <c r="EA17" s="220"/>
      <c r="EB17" s="220"/>
      <c r="EC17" s="220"/>
      <c r="ED17" s="220"/>
      <c r="EE17" s="220"/>
      <c r="EF17" s="220"/>
      <c r="EG17" s="220"/>
      <c r="EH17" s="212"/>
      <c r="EI17" s="220"/>
      <c r="EJ17" s="220"/>
      <c r="EK17" s="220"/>
      <c r="EL17" s="220"/>
      <c r="EM17" s="220"/>
      <c r="EN17" s="220"/>
      <c r="EO17" s="220"/>
      <c r="EP17" s="220"/>
      <c r="EQ17" s="220"/>
      <c r="ER17" s="220"/>
      <c r="ES17" s="220"/>
      <c r="ET17" s="220"/>
      <c r="EU17" s="220"/>
      <c r="EV17" s="220"/>
      <c r="EW17" s="220"/>
      <c r="EX17" s="220"/>
      <c r="EY17" s="220"/>
      <c r="EZ17" s="220"/>
      <c r="FA17" s="220"/>
      <c r="FB17" s="220"/>
      <c r="FC17" s="220"/>
      <c r="FD17" s="220"/>
      <c r="FE17" s="220"/>
      <c r="FF17" s="220"/>
      <c r="FG17" s="220"/>
      <c r="FH17" s="220"/>
      <c r="FI17" s="220"/>
      <c r="FJ17" s="220"/>
      <c r="FK17" s="220"/>
      <c r="FL17" s="220"/>
      <c r="FM17" s="212" t="str">
        <f>TEXT(AB17,"#0.00%") &amp; " "</f>
        <v xml:space="preserve">90.47% </v>
      </c>
      <c r="FN17" s="220"/>
      <c r="FO17" s="220"/>
      <c r="FP17" s="220"/>
      <c r="FQ17" s="220"/>
      <c r="FR17" s="220"/>
      <c r="FS17" s="220"/>
      <c r="FT17" s="220"/>
      <c r="FU17" s="220"/>
      <c r="FV17" s="220"/>
      <c r="FW17" s="220"/>
      <c r="FX17" s="220"/>
      <c r="FY17" s="220"/>
      <c r="FZ17" s="220"/>
      <c r="GA17" s="220"/>
      <c r="GB17" s="220"/>
      <c r="GC17" s="220"/>
      <c r="GD17" s="220"/>
      <c r="GE17" s="220"/>
      <c r="GF17" s="220"/>
      <c r="GG17" s="220"/>
      <c r="GH17" s="220"/>
      <c r="GI17" s="220"/>
      <c r="GJ17" s="220"/>
      <c r="GK17" s="220"/>
      <c r="GL17" s="220"/>
      <c r="GM17" s="220"/>
      <c r="GN17" s="220"/>
    </row>
    <row r="18" spans="1:196">
      <c r="A18" s="184"/>
      <c r="B18" s="184" t="s">
        <v>993</v>
      </c>
      <c r="C18" s="184">
        <v>4</v>
      </c>
      <c r="D18" s="195" t="s">
        <v>987</v>
      </c>
      <c r="E18" s="185"/>
      <c r="F18" s="185"/>
      <c r="G18" s="185"/>
      <c r="H18" s="223" t="s">
        <v>1051</v>
      </c>
      <c r="I18" s="185"/>
      <c r="J18" s="185"/>
      <c r="K18" s="185"/>
      <c r="L18" s="185"/>
      <c r="M18" s="159">
        <v>42991</v>
      </c>
      <c r="N18" s="159">
        <v>42996</v>
      </c>
      <c r="O18" s="186"/>
      <c r="P18" s="187">
        <v>5</v>
      </c>
      <c r="Q18" s="187">
        <v>5</v>
      </c>
      <c r="R18" s="188">
        <f ca="1">IF(M18="","0",(N18-M18+1)-COUNTIFS(INDIRECT(getCalendarRange(O18)),"&gt;=" &amp; M18,INDIRECT(getCalendarRange(O18)),"&lt;=" &amp; N18))</f>
        <v>4</v>
      </c>
      <c r="S18" s="188">
        <f ca="1">IF(M18&gt;TODAY(),0,IF(N18&lt;TODAY(),R18,(TODAY()-M18+1)-COUNTIFS(INDIRECT(getCalendarRange(O18)),"&gt;=" &amp; M18,INDIRECT(getCalendarRange(O18)),"&lt;=" &amp; TODAY())))</f>
        <v>4</v>
      </c>
      <c r="T18" s="159"/>
      <c r="U18" s="159"/>
      <c r="V18" s="189">
        <v>0</v>
      </c>
      <c r="W18" s="190" t="str">
        <f ca="1">IF(U18="","0",IF(T18="","0",(U18-T18+1)-COUNTIFS(INDIRECT(getCalendarRange(O18)),"&gt;=" &amp; T18,INDIRECT(getCalendarRange(O18)),"&lt;=" &amp; U18)))</f>
        <v>0</v>
      </c>
      <c r="X18" s="191"/>
      <c r="Y18" s="186"/>
      <c r="Z18" s="192"/>
      <c r="AA18" s="193">
        <v>1</v>
      </c>
      <c r="AB18" s="194">
        <v>1</v>
      </c>
      <c r="AC18" s="221"/>
      <c r="AD18" s="220"/>
      <c r="AE18" s="220"/>
      <c r="AF18" s="220"/>
      <c r="AG18" s="220"/>
      <c r="AH18" s="220"/>
      <c r="AI18" s="220"/>
      <c r="AJ18" s="220"/>
      <c r="AK18" s="220"/>
      <c r="AL18" s="220"/>
      <c r="AM18" s="220"/>
      <c r="AN18" s="220"/>
      <c r="AO18" s="220"/>
      <c r="AP18" s="220"/>
      <c r="AQ18" s="220"/>
      <c r="AR18" s="220"/>
      <c r="AS18" s="220"/>
      <c r="AT18" s="220"/>
      <c r="AU18" s="220"/>
      <c r="AV18" s="220"/>
      <c r="AW18" s="220"/>
      <c r="AX18" s="220"/>
      <c r="AY18" s="220"/>
      <c r="AZ18" s="220"/>
      <c r="BA18" s="220"/>
      <c r="BB18" s="220"/>
      <c r="BC18" s="220"/>
      <c r="BD18" s="220"/>
      <c r="BE18" s="220"/>
      <c r="BF18" s="220"/>
      <c r="BG18" s="220"/>
      <c r="BH18" s="220"/>
      <c r="BI18" s="220"/>
      <c r="BJ18" s="220"/>
      <c r="BK18" s="220"/>
      <c r="BL18" s="220"/>
      <c r="BM18" s="220"/>
      <c r="BN18" s="220"/>
      <c r="BO18" s="220"/>
      <c r="BP18" s="220"/>
      <c r="BQ18" s="220"/>
      <c r="BR18" s="220"/>
      <c r="BS18" s="220"/>
      <c r="BT18" s="220"/>
      <c r="BU18" s="220"/>
      <c r="BV18" s="220"/>
      <c r="BW18" s="220"/>
      <c r="BX18" s="220"/>
      <c r="BY18" s="220"/>
      <c r="BZ18" s="220"/>
      <c r="CA18" s="220"/>
      <c r="CB18" s="220"/>
      <c r="CC18" s="220"/>
      <c r="CD18" s="220"/>
      <c r="CE18" s="220"/>
      <c r="CF18" s="220"/>
      <c r="CG18" s="220"/>
      <c r="CH18" s="220"/>
      <c r="CI18" s="220" t="str">
        <f>H18 &amp; " " &amp; IF(M18="","",TEXT(M18,"M/D-")) &amp; IF(N18="","",TEXT(N18,"M/D")) &amp; " "</f>
        <v xml:space="preserve">레이아웃 9/13-9/18 </v>
      </c>
      <c r="CJ18" s="220"/>
      <c r="CK18" s="220"/>
      <c r="CL18" s="212"/>
      <c r="CM18" s="220"/>
      <c r="CN18" s="220"/>
      <c r="CO18" s="220"/>
      <c r="CP18" s="212" t="str">
        <f>TEXT(AB18,"#0.00%") &amp; " "</f>
        <v xml:space="preserve">100.00% </v>
      </c>
      <c r="CQ18" s="220"/>
      <c r="CR18" s="220"/>
      <c r="CS18" s="220"/>
      <c r="CT18" s="220"/>
      <c r="CU18" s="220"/>
      <c r="CV18" s="220"/>
      <c r="CW18" s="220"/>
      <c r="CX18" s="220"/>
      <c r="CY18" s="220"/>
      <c r="CZ18" s="220"/>
      <c r="DA18" s="220"/>
      <c r="DB18" s="220"/>
      <c r="DC18" s="220"/>
      <c r="DD18" s="220"/>
      <c r="DE18" s="220"/>
      <c r="DF18" s="220"/>
      <c r="DG18" s="220"/>
      <c r="DH18" s="220"/>
      <c r="DI18" s="220"/>
      <c r="DJ18" s="220"/>
      <c r="DK18" s="220"/>
      <c r="DL18" s="220"/>
      <c r="DM18" s="220"/>
      <c r="DN18" s="220"/>
      <c r="DO18" s="220"/>
      <c r="DP18" s="220"/>
      <c r="DQ18" s="220"/>
      <c r="DR18" s="220"/>
      <c r="DS18" s="220"/>
      <c r="DT18" s="220"/>
      <c r="DU18" s="220"/>
      <c r="DV18" s="220"/>
      <c r="DW18" s="220"/>
      <c r="DX18" s="220"/>
      <c r="DY18" s="220"/>
      <c r="DZ18" s="220"/>
      <c r="EA18" s="220"/>
      <c r="EB18" s="220"/>
      <c r="EC18" s="220"/>
      <c r="ED18" s="220"/>
      <c r="EE18" s="220"/>
      <c r="EF18" s="220"/>
      <c r="EG18" s="220"/>
      <c r="EH18" s="220"/>
      <c r="EI18" s="220"/>
      <c r="EJ18" s="220"/>
      <c r="EK18" s="220"/>
      <c r="EL18" s="220"/>
      <c r="EM18" s="220"/>
      <c r="EN18" s="220"/>
      <c r="EO18" s="220"/>
      <c r="EP18" s="220"/>
      <c r="EQ18" s="220"/>
      <c r="ER18" s="220"/>
      <c r="ES18" s="220"/>
      <c r="ET18" s="220"/>
      <c r="EU18" s="220"/>
      <c r="EV18" s="220"/>
      <c r="EW18" s="220"/>
      <c r="EX18" s="220"/>
      <c r="EY18" s="220"/>
      <c r="EZ18" s="220"/>
      <c r="FA18" s="220"/>
      <c r="FB18" s="220"/>
      <c r="FC18" s="220"/>
      <c r="FD18" s="220"/>
      <c r="FE18" s="220"/>
      <c r="FF18" s="220"/>
      <c r="FG18" s="220"/>
      <c r="FH18" s="220"/>
      <c r="FI18" s="220"/>
      <c r="FJ18" s="220"/>
      <c r="FK18" s="220"/>
      <c r="FL18" s="220"/>
      <c r="FM18" s="220"/>
      <c r="FN18" s="220"/>
      <c r="FO18" s="220"/>
      <c r="FP18" s="220"/>
      <c r="FQ18" s="220"/>
      <c r="FR18" s="220"/>
      <c r="FS18" s="220"/>
      <c r="FT18" s="220"/>
      <c r="FU18" s="220"/>
      <c r="FV18" s="220"/>
      <c r="FW18" s="220"/>
      <c r="FX18" s="220"/>
      <c r="FY18" s="220"/>
      <c r="FZ18" s="220"/>
      <c r="GA18" s="220"/>
      <c r="GB18" s="220"/>
      <c r="GC18" s="220"/>
      <c r="GD18" s="220"/>
      <c r="GE18" s="220"/>
      <c r="GF18" s="220"/>
      <c r="GG18" s="220"/>
      <c r="GH18" s="220"/>
      <c r="GI18" s="220"/>
      <c r="GJ18" s="220"/>
      <c r="GK18" s="220"/>
      <c r="GL18" s="220"/>
      <c r="GM18" s="220"/>
      <c r="GN18" s="220"/>
    </row>
    <row r="19" spans="1:196">
      <c r="A19" s="184"/>
      <c r="B19" s="184"/>
      <c r="C19" s="184">
        <v>5</v>
      </c>
      <c r="D19" s="195" t="s">
        <v>1060</v>
      </c>
      <c r="E19" s="185"/>
      <c r="F19" s="185"/>
      <c r="G19" s="185"/>
      <c r="H19" s="185"/>
      <c r="I19" s="223" t="s">
        <v>1052</v>
      </c>
      <c r="J19" s="185"/>
      <c r="K19" s="185"/>
      <c r="L19" s="185"/>
      <c r="M19" s="159">
        <v>42991</v>
      </c>
      <c r="N19" s="159">
        <v>42991</v>
      </c>
      <c r="O19" s="186"/>
      <c r="P19" s="187">
        <v>1</v>
      </c>
      <c r="Q19" s="187">
        <v>1</v>
      </c>
      <c r="R19" s="188">
        <f ca="1">IF(M19="","0",(N19-M19+1)-COUNTIFS(INDIRECT(getCalendarRange(O19)),"&gt;=" &amp; M19,INDIRECT(getCalendarRange(O19)),"&lt;=" &amp; N19))</f>
        <v>1</v>
      </c>
      <c r="S19" s="188">
        <f ca="1">IF(M19&gt;TODAY(),0,IF(N19&lt;TODAY(),R19,(TODAY()-M19+1)-COUNTIFS(INDIRECT(getCalendarRange(O19)),"&gt;=" &amp; M19,INDIRECT(getCalendarRange(O19)),"&lt;=" &amp; TODAY())))</f>
        <v>1</v>
      </c>
      <c r="T19" s="159">
        <v>42679</v>
      </c>
      <c r="U19" s="159"/>
      <c r="V19" s="189">
        <v>-42678</v>
      </c>
      <c r="W19" s="190" t="str">
        <f ca="1">IF(U19="","0",IF(T19="","0",(U19-T19+1)-COUNTIFS(INDIRECT(getCalendarRange(O19)),"&gt;=" &amp; T19,INDIRECT(getCalendarRange(O19)),"&lt;=" &amp; U19)))</f>
        <v>0</v>
      </c>
      <c r="X19" s="191">
        <v>1</v>
      </c>
      <c r="Y19" s="186"/>
      <c r="Z19" s="192"/>
      <c r="AA19" s="193">
        <v>1</v>
      </c>
      <c r="AB19" s="194">
        <v>1</v>
      </c>
      <c r="AC19" s="221"/>
      <c r="AD19" s="220"/>
      <c r="AE19" s="220"/>
      <c r="AF19" s="220"/>
      <c r="AG19" s="220"/>
      <c r="AH19" s="220"/>
      <c r="AI19" s="220"/>
      <c r="AJ19" s="220"/>
      <c r="AK19" s="220"/>
      <c r="AL19" s="220"/>
      <c r="AM19" s="220"/>
      <c r="AN19" s="220"/>
      <c r="AO19" s="220"/>
      <c r="AP19" s="220"/>
      <c r="AQ19" s="220"/>
      <c r="AR19" s="220"/>
      <c r="AS19" s="220"/>
      <c r="AT19" s="220"/>
      <c r="AU19" s="220"/>
      <c r="AV19" s="220"/>
      <c r="AW19" s="220"/>
      <c r="AX19" s="220"/>
      <c r="AY19" s="220"/>
      <c r="AZ19" s="220"/>
      <c r="BA19" s="220"/>
      <c r="BB19" s="220"/>
      <c r="BC19" s="220"/>
      <c r="BD19" s="220"/>
      <c r="BE19" s="220"/>
      <c r="BF19" s="220"/>
      <c r="BG19" s="220"/>
      <c r="BH19" s="220"/>
      <c r="BI19" s="220"/>
      <c r="BJ19" s="220"/>
      <c r="BK19" s="220"/>
      <c r="BL19" s="220"/>
      <c r="BM19" s="220"/>
      <c r="BN19" s="220"/>
      <c r="BO19" s="220"/>
      <c r="BP19" s="220"/>
      <c r="BQ19" s="220"/>
      <c r="BR19" s="220"/>
      <c r="BS19" s="220"/>
      <c r="BT19" s="220"/>
      <c r="BU19" s="220"/>
      <c r="BV19" s="220"/>
      <c r="BW19" s="220"/>
      <c r="BX19" s="220"/>
      <c r="BY19" s="220"/>
      <c r="BZ19" s="220"/>
      <c r="CA19" s="220"/>
      <c r="CB19" s="220"/>
      <c r="CC19" s="220"/>
      <c r="CD19" s="220"/>
      <c r="CE19" s="220"/>
      <c r="CF19" s="220"/>
      <c r="CG19" s="220"/>
      <c r="CH19" s="220"/>
      <c r="CI19" s="220" t="str">
        <f>I19 &amp; " " &amp; IF(M19="","",TEXT(M19,"M/D-")) &amp; IF(N19="","",TEXT(N19,"M/D")) &amp; " "</f>
        <v xml:space="preserve">사용자 9/13-9/13 </v>
      </c>
      <c r="CJ19" s="220"/>
      <c r="CK19" s="212" t="str">
        <f>TEXT(AB19,"#0.00%") &amp; " "</f>
        <v xml:space="preserve">100.00% </v>
      </c>
      <c r="CL19" s="220"/>
      <c r="CM19" s="220"/>
      <c r="CN19" s="220"/>
      <c r="CO19" s="220"/>
      <c r="CP19" s="220"/>
      <c r="CQ19" s="220"/>
      <c r="CR19" s="220"/>
      <c r="CS19" s="220"/>
      <c r="CT19" s="220"/>
      <c r="CU19" s="220"/>
      <c r="CV19" s="220"/>
      <c r="CW19" s="220"/>
      <c r="CX19" s="220"/>
      <c r="CY19" s="220"/>
      <c r="CZ19" s="220"/>
      <c r="DA19" s="220"/>
      <c r="DB19" s="220"/>
      <c r="DC19" s="220"/>
      <c r="DD19" s="220"/>
      <c r="DE19" s="220"/>
      <c r="DF19" s="220"/>
      <c r="DG19" s="220"/>
      <c r="DH19" s="220"/>
      <c r="DI19" s="220"/>
      <c r="DJ19" s="220"/>
      <c r="DK19" s="220"/>
      <c r="DL19" s="220"/>
      <c r="DM19" s="220"/>
      <c r="DN19" s="220"/>
      <c r="DO19" s="220"/>
      <c r="DP19" s="220"/>
      <c r="DQ19" s="220"/>
      <c r="DR19" s="220"/>
      <c r="DS19" s="220"/>
      <c r="DT19" s="220"/>
      <c r="DU19" s="220"/>
      <c r="DV19" s="220"/>
      <c r="DW19" s="220"/>
      <c r="DX19" s="220"/>
      <c r="DY19" s="220"/>
      <c r="DZ19" s="220"/>
      <c r="EA19" s="220"/>
      <c r="EB19" s="220"/>
      <c r="EC19" s="220"/>
      <c r="ED19" s="220"/>
      <c r="EE19" s="220"/>
      <c r="EF19" s="220"/>
      <c r="EG19" s="220"/>
      <c r="EH19" s="220"/>
      <c r="EI19" s="220"/>
      <c r="EJ19" s="220"/>
      <c r="EK19" s="220"/>
      <c r="EL19" s="220"/>
      <c r="EM19" s="220"/>
      <c r="EN19" s="220"/>
      <c r="EO19" s="220"/>
      <c r="EP19" s="220"/>
      <c r="EQ19" s="220"/>
      <c r="ER19" s="220"/>
      <c r="ES19" s="220"/>
      <c r="ET19" s="220"/>
      <c r="EU19" s="220"/>
      <c r="EV19" s="220"/>
      <c r="EW19" s="220"/>
      <c r="EX19" s="220"/>
      <c r="EY19" s="220"/>
      <c r="EZ19" s="220"/>
      <c r="FA19" s="220"/>
      <c r="FB19" s="220"/>
      <c r="FC19" s="220"/>
      <c r="FD19" s="220"/>
      <c r="FE19" s="220"/>
      <c r="FF19" s="220"/>
      <c r="FG19" s="220"/>
      <c r="FH19" s="220"/>
      <c r="FI19" s="220"/>
      <c r="FJ19" s="220"/>
      <c r="FK19" s="220"/>
      <c r="FL19" s="220"/>
      <c r="FM19" s="220"/>
      <c r="FN19" s="220"/>
      <c r="FO19" s="220"/>
      <c r="FP19" s="220"/>
      <c r="FQ19" s="220"/>
      <c r="FR19" s="220"/>
      <c r="FS19" s="220"/>
      <c r="FT19" s="220"/>
      <c r="FU19" s="220"/>
      <c r="FV19" s="220"/>
      <c r="FW19" s="220"/>
      <c r="FX19" s="220"/>
      <c r="FY19" s="220"/>
      <c r="FZ19" s="220"/>
      <c r="GA19" s="220"/>
      <c r="GB19" s="220"/>
      <c r="GC19" s="220"/>
      <c r="GD19" s="220"/>
      <c r="GE19" s="220"/>
      <c r="GF19" s="220"/>
      <c r="GG19" s="220"/>
      <c r="GH19" s="220"/>
      <c r="GI19" s="220"/>
      <c r="GJ19" s="220"/>
      <c r="GK19" s="220"/>
      <c r="GL19" s="220"/>
      <c r="GM19" s="220"/>
      <c r="GN19" s="220"/>
    </row>
    <row r="20" spans="1:196">
      <c r="A20" s="184"/>
      <c r="B20" s="184"/>
      <c r="C20" s="184">
        <v>5</v>
      </c>
      <c r="D20" s="195" t="s">
        <v>1061</v>
      </c>
      <c r="E20" s="185"/>
      <c r="F20" s="185"/>
      <c r="G20" s="185"/>
      <c r="H20" s="185"/>
      <c r="I20" s="223" t="s">
        <v>1053</v>
      </c>
      <c r="J20" s="185"/>
      <c r="K20" s="185"/>
      <c r="L20" s="185"/>
      <c r="M20" s="159">
        <v>42991</v>
      </c>
      <c r="N20" s="159">
        <v>42996</v>
      </c>
      <c r="O20" s="186"/>
      <c r="P20" s="187">
        <v>4</v>
      </c>
      <c r="Q20" s="187">
        <v>4</v>
      </c>
      <c r="R20" s="188">
        <f ca="1">IF(M20="","0",(N20-M20+1)-COUNTIFS(INDIRECT(getCalendarRange(O20)),"&gt;=" &amp; M20,INDIRECT(getCalendarRange(O20)),"&lt;=" &amp; N20))</f>
        <v>4</v>
      </c>
      <c r="S20" s="188">
        <f ca="1">IF(M20&gt;TODAY(),0,IF(N20&lt;TODAY(),R20,(TODAY()-M20+1)-COUNTIFS(INDIRECT(getCalendarRange(O20)),"&gt;=" &amp; M20,INDIRECT(getCalendarRange(O20)),"&lt;=" &amp; TODAY())))</f>
        <v>4</v>
      </c>
      <c r="T20" s="159"/>
      <c r="U20" s="159"/>
      <c r="V20" s="189"/>
      <c r="W20" s="190" t="str">
        <f ca="1">IF(U20="","0",IF(T20="","0",(U20-T20+1)-COUNTIFS(INDIRECT(getCalendarRange(O20)),"&gt;=" &amp; T20,INDIRECT(getCalendarRange(O20)),"&lt;=" &amp; U20)))</f>
        <v>0</v>
      </c>
      <c r="X20" s="191">
        <v>1</v>
      </c>
      <c r="Y20" s="186"/>
      <c r="Z20" s="192"/>
      <c r="AA20" s="193">
        <v>1</v>
      </c>
      <c r="AB20" s="194">
        <v>1</v>
      </c>
      <c r="AC20" s="221"/>
      <c r="AD20" s="220"/>
      <c r="AE20" s="220"/>
      <c r="AF20" s="220"/>
      <c r="AG20" s="220"/>
      <c r="AH20" s="220"/>
      <c r="AI20" s="220"/>
      <c r="AJ20" s="220"/>
      <c r="AK20" s="220"/>
      <c r="AL20" s="220"/>
      <c r="AM20" s="220"/>
      <c r="AN20" s="220"/>
      <c r="AO20" s="220"/>
      <c r="AP20" s="220"/>
      <c r="AQ20" s="220"/>
      <c r="AR20" s="220"/>
      <c r="AS20" s="220"/>
      <c r="AT20" s="220"/>
      <c r="AU20" s="220"/>
      <c r="AV20" s="220"/>
      <c r="AW20" s="220"/>
      <c r="AX20" s="220"/>
      <c r="AY20" s="220"/>
      <c r="AZ20" s="220"/>
      <c r="BA20" s="220"/>
      <c r="BB20" s="220"/>
      <c r="BC20" s="220"/>
      <c r="BD20" s="220"/>
      <c r="BE20" s="220"/>
      <c r="BF20" s="220"/>
      <c r="BG20" s="220"/>
      <c r="BH20" s="220"/>
      <c r="BI20" s="220"/>
      <c r="BJ20" s="220"/>
      <c r="BK20" s="220"/>
      <c r="BL20" s="220"/>
      <c r="BM20" s="220"/>
      <c r="BN20" s="220"/>
      <c r="BO20" s="220"/>
      <c r="BP20" s="220"/>
      <c r="BQ20" s="220"/>
      <c r="BR20" s="220"/>
      <c r="BS20" s="220"/>
      <c r="BT20" s="220"/>
      <c r="BU20" s="220"/>
      <c r="BV20" s="220"/>
      <c r="BW20" s="220"/>
      <c r="BX20" s="220"/>
      <c r="BY20" s="220"/>
      <c r="BZ20" s="220"/>
      <c r="CA20" s="220"/>
      <c r="CB20" s="220"/>
      <c r="CC20" s="220"/>
      <c r="CD20" s="220"/>
      <c r="CE20" s="220"/>
      <c r="CF20" s="220"/>
      <c r="CG20" s="220"/>
      <c r="CH20" s="220"/>
      <c r="CI20" s="220" t="str">
        <f>I20 &amp; " " &amp; IF(M20="","",TEXT(M20,"M/D-")) &amp; IF(N20="","",TEXT(N20,"M/D")) &amp; " "</f>
        <v xml:space="preserve">가게 9/13-9/18 </v>
      </c>
      <c r="CJ20" s="220"/>
      <c r="CK20" s="212"/>
      <c r="CL20" s="220"/>
      <c r="CM20" s="220"/>
      <c r="CN20" s="220"/>
      <c r="CO20" s="220"/>
      <c r="CP20" s="212" t="str">
        <f>TEXT(AB20,"#0.00%") &amp; " "</f>
        <v xml:space="preserve">100.00% </v>
      </c>
      <c r="CQ20" s="220"/>
      <c r="CR20" s="220"/>
      <c r="CS20" s="220"/>
      <c r="CT20" s="220"/>
      <c r="CU20" s="220"/>
      <c r="CV20" s="220"/>
      <c r="CW20" s="220"/>
      <c r="CX20" s="220"/>
      <c r="CY20" s="220"/>
      <c r="CZ20" s="220"/>
      <c r="DA20" s="220"/>
      <c r="DB20" s="220"/>
      <c r="DC20" s="220"/>
      <c r="DD20" s="220"/>
      <c r="DE20" s="220"/>
      <c r="DF20" s="220"/>
      <c r="DG20" s="220"/>
      <c r="DH20" s="220"/>
      <c r="DI20" s="220"/>
      <c r="DJ20" s="220"/>
      <c r="DK20" s="220"/>
      <c r="DL20" s="220"/>
      <c r="DM20" s="220"/>
      <c r="DN20" s="220"/>
      <c r="DO20" s="220"/>
      <c r="DP20" s="220"/>
      <c r="DQ20" s="220"/>
      <c r="DR20" s="220"/>
      <c r="DS20" s="220"/>
      <c r="DT20" s="220"/>
      <c r="DU20" s="220"/>
      <c r="DV20" s="220"/>
      <c r="DW20" s="220"/>
      <c r="DX20" s="220"/>
      <c r="DY20" s="220"/>
      <c r="DZ20" s="220"/>
      <c r="EA20" s="220"/>
      <c r="EB20" s="220"/>
      <c r="EC20" s="220"/>
      <c r="ED20" s="220"/>
      <c r="EE20" s="220"/>
      <c r="EF20" s="220"/>
      <c r="EG20" s="220"/>
      <c r="EH20" s="220"/>
      <c r="EI20" s="220"/>
      <c r="EJ20" s="220"/>
      <c r="EK20" s="220"/>
      <c r="EL20" s="220"/>
      <c r="EM20" s="220"/>
      <c r="EN20" s="220"/>
      <c r="EO20" s="220"/>
      <c r="EP20" s="220"/>
      <c r="EQ20" s="220"/>
      <c r="ER20" s="220"/>
      <c r="ES20" s="220"/>
      <c r="ET20" s="220"/>
      <c r="EU20" s="220"/>
      <c r="EV20" s="220"/>
      <c r="EW20" s="220"/>
      <c r="EX20" s="220"/>
      <c r="EY20" s="220"/>
      <c r="EZ20" s="220"/>
      <c r="FA20" s="220"/>
      <c r="FB20" s="220"/>
      <c r="FC20" s="220"/>
      <c r="FD20" s="220"/>
      <c r="FE20" s="220"/>
      <c r="FF20" s="220"/>
      <c r="FG20" s="220"/>
      <c r="FH20" s="220"/>
      <c r="FI20" s="220"/>
      <c r="FJ20" s="220"/>
      <c r="FK20" s="220"/>
      <c r="FL20" s="220"/>
      <c r="FM20" s="220"/>
      <c r="FN20" s="220"/>
      <c r="FO20" s="220"/>
      <c r="FP20" s="220"/>
      <c r="FQ20" s="220"/>
      <c r="FR20" s="220"/>
      <c r="FS20" s="220"/>
      <c r="FT20" s="220"/>
      <c r="FU20" s="220"/>
      <c r="FV20" s="220"/>
      <c r="FW20" s="220"/>
      <c r="FX20" s="220"/>
      <c r="FY20" s="220"/>
      <c r="FZ20" s="220"/>
      <c r="GA20" s="220"/>
      <c r="GB20" s="220"/>
      <c r="GC20" s="220"/>
      <c r="GD20" s="220"/>
      <c r="GE20" s="220"/>
      <c r="GF20" s="220"/>
      <c r="GG20" s="220"/>
      <c r="GH20" s="220"/>
      <c r="GI20" s="220"/>
      <c r="GJ20" s="220"/>
      <c r="GK20" s="220"/>
      <c r="GL20" s="220"/>
      <c r="GM20" s="220"/>
      <c r="GN20" s="220"/>
    </row>
    <row r="21" spans="1:196">
      <c r="A21" s="184"/>
      <c r="B21" s="184" t="s">
        <v>993</v>
      </c>
      <c r="C21" s="184">
        <v>4</v>
      </c>
      <c r="D21" s="195" t="s">
        <v>1002</v>
      </c>
      <c r="E21" s="185"/>
      <c r="F21" s="185"/>
      <c r="G21" s="185"/>
      <c r="H21" s="185" t="s">
        <v>1054</v>
      </c>
      <c r="I21" s="185"/>
      <c r="J21" s="185"/>
      <c r="K21" s="185"/>
      <c r="L21" s="185"/>
      <c r="M21" s="159">
        <v>42997</v>
      </c>
      <c r="N21" s="159">
        <v>43017</v>
      </c>
      <c r="O21" s="186"/>
      <c r="P21" s="187">
        <v>40</v>
      </c>
      <c r="Q21" s="187">
        <v>40</v>
      </c>
      <c r="R21" s="188">
        <f ca="1">IF(M21="","0",(N21-M21+1)-COUNTIFS(INDIRECT(getCalendarRange(O21)),"&gt;=" &amp; M21,INDIRECT(getCalendarRange(O21)),"&lt;=" &amp; N21))</f>
        <v>10</v>
      </c>
      <c r="S21" s="188">
        <f ca="1">IF(M21&gt;TODAY(),0,IF(N21&lt;TODAY(),R21,(TODAY()-M21+1)-COUNTIFS(INDIRECT(getCalendarRange(O21)),"&gt;=" &amp; M21,INDIRECT(getCalendarRange(O21)),"&lt;=" &amp; TODAY())))</f>
        <v>10</v>
      </c>
      <c r="T21" s="159"/>
      <c r="U21" s="159"/>
      <c r="V21" s="189">
        <v>0</v>
      </c>
      <c r="W21" s="190" t="str">
        <f ca="1">IF(U21="","0",IF(T21="","0",(U21-T21+1)-COUNTIFS(INDIRECT(getCalendarRange(O21)),"&gt;=" &amp; T21,INDIRECT(getCalendarRange(O21)),"&lt;=" &amp; U21)))</f>
        <v>0</v>
      </c>
      <c r="X21" s="191"/>
      <c r="Y21" s="186"/>
      <c r="Z21" s="192"/>
      <c r="AA21" s="193">
        <v>1</v>
      </c>
      <c r="AB21" s="194">
        <v>1</v>
      </c>
      <c r="AC21" s="221"/>
      <c r="AD21" s="220"/>
      <c r="AE21" s="220"/>
      <c r="AF21" s="220"/>
      <c r="AG21" s="220"/>
      <c r="AH21" s="220"/>
      <c r="AI21" s="220"/>
      <c r="AJ21" s="220"/>
      <c r="AK21" s="220"/>
      <c r="AL21" s="220"/>
      <c r="AM21" s="220"/>
      <c r="AN21" s="220"/>
      <c r="AO21" s="220"/>
      <c r="AP21" s="220"/>
      <c r="AQ21" s="220"/>
      <c r="AR21" s="220"/>
      <c r="AS21" s="220"/>
      <c r="AT21" s="220"/>
      <c r="AU21" s="220"/>
      <c r="AV21" s="220"/>
      <c r="AW21" s="220"/>
      <c r="AX21" s="220"/>
      <c r="AY21" s="220"/>
      <c r="AZ21" s="220"/>
      <c r="BA21" s="220"/>
      <c r="BB21" s="220"/>
      <c r="BC21" s="220"/>
      <c r="BD21" s="220"/>
      <c r="BE21" s="220"/>
      <c r="BF21" s="220"/>
      <c r="BG21" s="220"/>
      <c r="BH21" s="220"/>
      <c r="BI21" s="220"/>
      <c r="BJ21" s="220"/>
      <c r="BK21" s="220"/>
      <c r="BL21" s="220"/>
      <c r="BM21" s="220"/>
      <c r="BN21" s="220"/>
      <c r="BO21" s="220"/>
      <c r="BP21" s="220"/>
      <c r="BQ21" s="220"/>
      <c r="BR21" s="220"/>
      <c r="BS21" s="220"/>
      <c r="BT21" s="220"/>
      <c r="BU21" s="220"/>
      <c r="BV21" s="220"/>
      <c r="BW21" s="220"/>
      <c r="BX21" s="220"/>
      <c r="BY21" s="220"/>
      <c r="BZ21" s="220"/>
      <c r="CA21" s="220"/>
      <c r="CB21" s="220"/>
      <c r="CC21" s="220"/>
      <c r="CD21" s="220"/>
      <c r="CE21" s="220"/>
      <c r="CF21" s="220"/>
      <c r="CG21" s="220"/>
      <c r="CH21" s="220"/>
      <c r="CI21" s="220"/>
      <c r="CJ21" s="220"/>
      <c r="CK21" s="220"/>
      <c r="CL21" s="220"/>
      <c r="CM21" s="220"/>
      <c r="CN21" s="220"/>
      <c r="CO21" s="220" t="str">
        <f>H21 &amp; " " &amp; IF(M21="","",TEXT(M21,"M/D-")) &amp; IF(N21="","",TEXT(N21,"M/D")) &amp; " "</f>
        <v xml:space="preserve">DB, 서버 9/19-10/9 </v>
      </c>
      <c r="CP21" s="220"/>
      <c r="CQ21" s="220"/>
      <c r="CR21" s="212"/>
      <c r="CS21" s="220"/>
      <c r="CT21" s="220"/>
      <c r="CU21" s="220"/>
      <c r="CV21" s="220"/>
      <c r="CW21" s="220"/>
      <c r="CX21" s="220"/>
      <c r="CY21" s="220"/>
      <c r="CZ21" s="220"/>
      <c r="DA21" s="220"/>
      <c r="DB21" s="220"/>
      <c r="DC21" s="220"/>
      <c r="DD21" s="220"/>
      <c r="DE21" s="220"/>
      <c r="DF21" s="220"/>
      <c r="DG21" s="220"/>
      <c r="DH21" s="220"/>
      <c r="DI21" s="220"/>
      <c r="DJ21" s="220"/>
      <c r="DK21" s="212" t="str">
        <f>TEXT(AB21,"#0.00%") &amp; " "</f>
        <v xml:space="preserve">100.00% </v>
      </c>
      <c r="DL21" s="220"/>
      <c r="DM21" s="220"/>
      <c r="DN21" s="220"/>
      <c r="DO21" s="220"/>
      <c r="DP21" s="220"/>
      <c r="DQ21" s="220"/>
      <c r="DR21" s="220"/>
      <c r="DS21" s="220"/>
      <c r="DT21" s="220"/>
      <c r="DU21" s="220"/>
      <c r="DV21" s="220"/>
      <c r="DW21" s="220"/>
      <c r="DX21" s="220"/>
      <c r="DY21" s="220"/>
      <c r="DZ21" s="220"/>
      <c r="EA21" s="220"/>
      <c r="EB21" s="220"/>
      <c r="EC21" s="220"/>
      <c r="ED21" s="220"/>
      <c r="EE21" s="220"/>
      <c r="EF21" s="220"/>
      <c r="EG21" s="220"/>
      <c r="EH21" s="220"/>
      <c r="EI21" s="220"/>
      <c r="EJ21" s="220"/>
      <c r="EK21" s="220"/>
      <c r="EL21" s="220"/>
      <c r="EM21" s="220"/>
      <c r="EN21" s="220"/>
      <c r="EO21" s="220"/>
      <c r="EP21" s="220"/>
      <c r="EQ21" s="220"/>
      <c r="ER21" s="220"/>
      <c r="ES21" s="220"/>
      <c r="ET21" s="220"/>
      <c r="EU21" s="220"/>
      <c r="EV21" s="220"/>
      <c r="EW21" s="220"/>
      <c r="EX21" s="220"/>
      <c r="EY21" s="220"/>
      <c r="EZ21" s="220"/>
      <c r="FA21" s="220"/>
      <c r="FB21" s="220"/>
      <c r="FC21" s="220"/>
      <c r="FD21" s="220"/>
      <c r="FE21" s="220"/>
      <c r="FF21" s="220"/>
      <c r="FG21" s="220"/>
      <c r="FH21" s="220"/>
      <c r="FI21" s="220"/>
      <c r="FJ21" s="220"/>
      <c r="FK21" s="220"/>
      <c r="FL21" s="220"/>
      <c r="FM21" s="220"/>
      <c r="FN21" s="220"/>
      <c r="FO21" s="220"/>
      <c r="FP21" s="220"/>
      <c r="FQ21" s="220"/>
      <c r="FR21" s="220"/>
      <c r="FS21" s="220"/>
      <c r="FT21" s="220"/>
      <c r="FU21" s="220"/>
      <c r="FV21" s="220"/>
      <c r="FW21" s="220"/>
      <c r="FX21" s="220"/>
      <c r="FY21" s="220"/>
      <c r="FZ21" s="220"/>
      <c r="GA21" s="220"/>
      <c r="GB21" s="220"/>
      <c r="GC21" s="220"/>
      <c r="GD21" s="220"/>
      <c r="GE21" s="220"/>
      <c r="GF21" s="220"/>
      <c r="GG21" s="220"/>
      <c r="GH21" s="220"/>
      <c r="GI21" s="220"/>
      <c r="GJ21" s="220"/>
      <c r="GK21" s="220"/>
      <c r="GL21" s="220"/>
      <c r="GM21" s="220"/>
      <c r="GN21" s="220"/>
    </row>
    <row r="22" spans="1:196">
      <c r="A22" s="184"/>
      <c r="B22" s="184"/>
      <c r="C22" s="184">
        <v>5</v>
      </c>
      <c r="D22" s="195" t="s">
        <v>1003</v>
      </c>
      <c r="E22" s="185"/>
      <c r="F22" s="185"/>
      <c r="G22" s="185"/>
      <c r="H22" s="185"/>
      <c r="I22" s="223" t="s">
        <v>1055</v>
      </c>
      <c r="J22" s="185"/>
      <c r="K22" s="185"/>
      <c r="L22" s="185"/>
      <c r="M22" s="159">
        <v>42997</v>
      </c>
      <c r="N22" s="159">
        <v>43017</v>
      </c>
      <c r="O22" s="186"/>
      <c r="P22" s="187">
        <v>40</v>
      </c>
      <c r="Q22" s="187">
        <v>40</v>
      </c>
      <c r="R22" s="188">
        <f ca="1">IF(M22="","0",(N22-M22+1)-COUNTIFS(INDIRECT(getCalendarRange(O22)),"&gt;=" &amp; M22,INDIRECT(getCalendarRange(O22)),"&lt;=" &amp; N22))</f>
        <v>10</v>
      </c>
      <c r="S22" s="188">
        <f ca="1">IF(M22&gt;TODAY(),0,IF(N22&lt;TODAY(),R22,(TODAY()-M22+1)-COUNTIFS(INDIRECT(getCalendarRange(O22)),"&gt;=" &amp; M22,INDIRECT(getCalendarRange(O22)),"&lt;=" &amp; TODAY())))</f>
        <v>10</v>
      </c>
      <c r="T22" s="159"/>
      <c r="U22" s="159"/>
      <c r="V22" s="189"/>
      <c r="W22" s="190" t="str">
        <f ca="1">IF(U22="","0",IF(T22="","0",(U22-T22+1)-COUNTIFS(INDIRECT(getCalendarRange(O22)),"&gt;=" &amp; T22,INDIRECT(getCalendarRange(O22)),"&lt;=" &amp; U22)))</f>
        <v>0</v>
      </c>
      <c r="X22" s="191">
        <v>4</v>
      </c>
      <c r="Y22" s="186"/>
      <c r="Z22" s="192"/>
      <c r="AA22" s="193">
        <v>1</v>
      </c>
      <c r="AB22" s="194">
        <v>1</v>
      </c>
      <c r="AC22" s="221"/>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0"/>
      <c r="BA22" s="220"/>
      <c r="BB22" s="220"/>
      <c r="BC22" s="220"/>
      <c r="BD22" s="220"/>
      <c r="BE22" s="220"/>
      <c r="BF22" s="220"/>
      <c r="BG22" s="220"/>
      <c r="BH22" s="220"/>
      <c r="BI22" s="220"/>
      <c r="BJ22" s="220"/>
      <c r="BK22" s="220"/>
      <c r="BL22" s="220"/>
      <c r="BM22" s="220"/>
      <c r="BN22" s="220"/>
      <c r="BO22" s="220"/>
      <c r="BP22" s="220"/>
      <c r="BQ22" s="220"/>
      <c r="BR22" s="220"/>
      <c r="BS22" s="220"/>
      <c r="BT22" s="220"/>
      <c r="BU22" s="220"/>
      <c r="BV22" s="220"/>
      <c r="BW22" s="220"/>
      <c r="BX22" s="220"/>
      <c r="BY22" s="220"/>
      <c r="BZ22" s="220"/>
      <c r="CA22" s="220"/>
      <c r="CB22" s="220"/>
      <c r="CC22" s="220"/>
      <c r="CD22" s="220"/>
      <c r="CE22" s="220"/>
      <c r="CF22" s="220"/>
      <c r="CG22" s="220"/>
      <c r="CH22" s="220"/>
      <c r="CI22" s="220"/>
      <c r="CJ22" s="220"/>
      <c r="CK22" s="220"/>
      <c r="CL22" s="220"/>
      <c r="CM22" s="220"/>
      <c r="CN22" s="220"/>
      <c r="CO22" s="220" t="str">
        <f>I22 &amp; " " &amp; IF(M22="","",TEXT(M22,"M/D-")) &amp; IF(N22="","",TEXT(N22,"M/D")) &amp; " "</f>
        <v xml:space="preserve">파이어베이스 9/19-10/9 </v>
      </c>
      <c r="CP22" s="220"/>
      <c r="CQ22" s="220"/>
      <c r="CR22" s="212"/>
      <c r="CS22" s="220"/>
      <c r="CT22" s="220"/>
      <c r="CU22" s="220"/>
      <c r="CV22" s="220"/>
      <c r="CW22" s="220"/>
      <c r="CX22" s="220"/>
      <c r="CY22" s="220"/>
      <c r="CZ22" s="220"/>
      <c r="DA22" s="220"/>
      <c r="DB22" s="220"/>
      <c r="DC22" s="220"/>
      <c r="DD22" s="220"/>
      <c r="DE22" s="220"/>
      <c r="DF22" s="220"/>
      <c r="DG22" s="220"/>
      <c r="DH22" s="220"/>
      <c r="DI22" s="220"/>
      <c r="DJ22" s="220"/>
      <c r="DK22" s="212" t="str">
        <f>TEXT(AB22,"#0.00%") &amp; " "</f>
        <v xml:space="preserve">100.00% </v>
      </c>
      <c r="DL22" s="220"/>
      <c r="DM22" s="220"/>
      <c r="DN22" s="220"/>
      <c r="DO22" s="220"/>
      <c r="DP22" s="220"/>
      <c r="DQ22" s="220"/>
      <c r="DR22" s="220"/>
      <c r="DS22" s="220"/>
      <c r="DT22" s="220"/>
      <c r="DU22" s="220"/>
      <c r="DV22" s="220"/>
      <c r="DW22" s="220"/>
      <c r="DX22" s="220"/>
      <c r="DY22" s="220"/>
      <c r="DZ22" s="220"/>
      <c r="EA22" s="220"/>
      <c r="EB22" s="220"/>
      <c r="EC22" s="220"/>
      <c r="ED22" s="220"/>
      <c r="EE22" s="220"/>
      <c r="EF22" s="220"/>
      <c r="EG22" s="220"/>
      <c r="EH22" s="220"/>
      <c r="EI22" s="220"/>
      <c r="EJ22" s="220"/>
      <c r="EK22" s="220"/>
      <c r="EL22" s="220"/>
      <c r="EM22" s="220"/>
      <c r="EN22" s="220"/>
      <c r="EO22" s="220"/>
      <c r="EP22" s="220"/>
      <c r="EQ22" s="220"/>
      <c r="ER22" s="220"/>
      <c r="ES22" s="220"/>
      <c r="ET22" s="220"/>
      <c r="EU22" s="220"/>
      <c r="EV22" s="220"/>
      <c r="EW22" s="220"/>
      <c r="EX22" s="220"/>
      <c r="EY22" s="220"/>
      <c r="EZ22" s="220"/>
      <c r="FA22" s="220"/>
      <c r="FB22" s="220"/>
      <c r="FC22" s="220"/>
      <c r="FD22" s="220"/>
      <c r="FE22" s="220"/>
      <c r="FF22" s="220"/>
      <c r="FG22" s="220"/>
      <c r="FH22" s="220"/>
      <c r="FI22" s="220"/>
      <c r="FJ22" s="220"/>
      <c r="FK22" s="220"/>
      <c r="FL22" s="220"/>
      <c r="FM22" s="220"/>
      <c r="FN22" s="220"/>
      <c r="FO22" s="220"/>
      <c r="FP22" s="220"/>
      <c r="FQ22" s="220"/>
      <c r="FR22" s="220"/>
      <c r="FS22" s="220"/>
      <c r="FT22" s="220"/>
      <c r="FU22" s="220"/>
      <c r="FV22" s="220"/>
      <c r="FW22" s="220"/>
      <c r="FX22" s="220"/>
      <c r="FY22" s="220"/>
      <c r="FZ22" s="220"/>
      <c r="GA22" s="220"/>
      <c r="GB22" s="220"/>
      <c r="GC22" s="220"/>
      <c r="GD22" s="220"/>
      <c r="GE22" s="220"/>
      <c r="GF22" s="220"/>
      <c r="GG22" s="220"/>
      <c r="GH22" s="220"/>
      <c r="GI22" s="220"/>
      <c r="GJ22" s="220"/>
      <c r="GK22" s="220"/>
      <c r="GL22" s="220"/>
      <c r="GM22" s="220"/>
      <c r="GN22" s="220"/>
    </row>
    <row r="23" spans="1:196">
      <c r="A23" s="184"/>
      <c r="B23" s="184" t="s">
        <v>993</v>
      </c>
      <c r="C23" s="184">
        <v>4</v>
      </c>
      <c r="D23" s="195" t="s">
        <v>1062</v>
      </c>
      <c r="E23" s="185"/>
      <c r="F23" s="185"/>
      <c r="G23" s="185"/>
      <c r="H23" s="223" t="s">
        <v>1056</v>
      </c>
      <c r="I23" s="185"/>
      <c r="J23" s="185"/>
      <c r="K23" s="185"/>
      <c r="L23" s="185"/>
      <c r="M23" s="159">
        <v>43018</v>
      </c>
      <c r="N23" s="159">
        <v>43066</v>
      </c>
      <c r="O23" s="186"/>
      <c r="P23" s="187">
        <v>60</v>
      </c>
      <c r="Q23" s="187">
        <v>38</v>
      </c>
      <c r="R23" s="188">
        <f ca="1">IF(M23="","0",(N23-M23+1)-COUNTIFS(INDIRECT(getCalendarRange(O23)),"&gt;=" &amp; M23,INDIRECT(getCalendarRange(O23)),"&lt;=" &amp; N23))</f>
        <v>35</v>
      </c>
      <c r="S23" s="188">
        <f ca="1">IF(M23&gt;TODAY(),0,IF(N23&lt;TODAY(),R23,(TODAY()-M23+1)-COUNTIFS(INDIRECT(getCalendarRange(O23)),"&gt;=" &amp; M23,INDIRECT(getCalendarRange(O23)),"&lt;=" &amp; TODAY())))</f>
        <v>19</v>
      </c>
      <c r="T23" s="159"/>
      <c r="U23" s="159"/>
      <c r="V23" s="189">
        <v>0</v>
      </c>
      <c r="W23" s="190" t="str">
        <f ca="1">IF(U23="","0",IF(T23="","0",(U23-T23+1)-COUNTIFS(INDIRECT(getCalendarRange(O23)),"&gt;=" &amp; T23,INDIRECT(getCalendarRange(O23)),"&lt;=" &amp; U23)))</f>
        <v>0</v>
      </c>
      <c r="X23" s="191"/>
      <c r="Y23" s="186"/>
      <c r="Z23" s="192"/>
      <c r="AA23" s="193">
        <v>0.6333333333333333</v>
      </c>
      <c r="AB23" s="194">
        <v>0.96666666666666667</v>
      </c>
      <c r="AC23" s="221"/>
      <c r="AD23" s="220"/>
      <c r="AE23" s="220"/>
      <c r="AF23" s="220"/>
      <c r="AG23" s="220"/>
      <c r="AH23" s="220"/>
      <c r="AI23" s="220"/>
      <c r="AJ23" s="220"/>
      <c r="AK23" s="220"/>
      <c r="AL23" s="220"/>
      <c r="AM23" s="220"/>
      <c r="AN23" s="220"/>
      <c r="AO23" s="220"/>
      <c r="AP23" s="220"/>
      <c r="AQ23" s="220"/>
      <c r="AR23" s="220"/>
      <c r="AS23" s="220"/>
      <c r="AT23" s="220"/>
      <c r="AU23" s="220"/>
      <c r="AV23" s="220"/>
      <c r="AW23" s="220"/>
      <c r="AX23" s="220"/>
      <c r="AY23" s="220"/>
      <c r="AZ23" s="220"/>
      <c r="BA23" s="220"/>
      <c r="BB23" s="220"/>
      <c r="BC23" s="220"/>
      <c r="BD23" s="220"/>
      <c r="BE23" s="220"/>
      <c r="BF23" s="220"/>
      <c r="BG23" s="220"/>
      <c r="BH23" s="220"/>
      <c r="BI23" s="220"/>
      <c r="BJ23" s="220"/>
      <c r="BK23" s="220"/>
      <c r="BL23" s="220"/>
      <c r="BM23" s="220"/>
      <c r="BN23" s="220"/>
      <c r="BO23" s="220"/>
      <c r="BP23" s="220"/>
      <c r="BQ23" s="220"/>
      <c r="BR23" s="220"/>
      <c r="BS23" s="220"/>
      <c r="BT23" s="220"/>
      <c r="BU23" s="220"/>
      <c r="BV23" s="220"/>
      <c r="BW23" s="220"/>
      <c r="BX23" s="220"/>
      <c r="BY23" s="220"/>
      <c r="BZ23" s="220"/>
      <c r="CA23" s="220"/>
      <c r="CB23" s="220"/>
      <c r="CC23" s="220"/>
      <c r="CD23" s="220"/>
      <c r="CE23" s="220"/>
      <c r="CF23" s="220"/>
      <c r="CG23" s="220"/>
      <c r="CH23" s="220"/>
      <c r="CI23" s="220"/>
      <c r="CJ23" s="220"/>
      <c r="CK23" s="220"/>
      <c r="CL23" s="220"/>
      <c r="CM23" s="220"/>
      <c r="CN23" s="220"/>
      <c r="CO23" s="220"/>
      <c r="CP23" s="220"/>
      <c r="CQ23" s="220"/>
      <c r="CR23" s="220"/>
      <c r="CS23" s="220"/>
      <c r="CT23" s="220"/>
      <c r="CU23" s="220"/>
      <c r="CV23" s="220"/>
      <c r="CW23" s="220"/>
      <c r="CX23" s="220"/>
      <c r="CY23" s="220"/>
      <c r="CZ23" s="220"/>
      <c r="DA23" s="220"/>
      <c r="DB23" s="220"/>
      <c r="DC23" s="220"/>
      <c r="DD23" s="220"/>
      <c r="DE23" s="220"/>
      <c r="DF23" s="220"/>
      <c r="DG23" s="220"/>
      <c r="DH23" s="220"/>
      <c r="DI23" s="220"/>
      <c r="DJ23" s="220" t="str">
        <f>H23 &amp; " " &amp; IF(M23="","",TEXT(M23,"M/D-")) &amp; IF(N23="","",TEXT(N23,"M/D")) &amp; " "</f>
        <v xml:space="preserve">기능 10/10-11/27 </v>
      </c>
      <c r="DK23" s="220"/>
      <c r="DL23" s="220"/>
      <c r="DM23" s="220"/>
      <c r="DN23" s="220"/>
      <c r="DO23" s="220"/>
      <c r="DP23" s="220"/>
      <c r="DQ23" s="220"/>
      <c r="DR23" s="220"/>
      <c r="DS23" s="220"/>
      <c r="DT23" s="212"/>
      <c r="DU23" s="220"/>
      <c r="DV23" s="220"/>
      <c r="DW23" s="220"/>
      <c r="DX23" s="220"/>
      <c r="DY23" s="220"/>
      <c r="DZ23" s="220"/>
      <c r="EA23" s="220"/>
      <c r="EB23" s="220"/>
      <c r="EC23" s="220"/>
      <c r="ED23" s="220"/>
      <c r="EE23" s="220"/>
      <c r="EF23" s="220"/>
      <c r="EG23" s="220"/>
      <c r="EH23" s="220"/>
      <c r="EI23" s="220"/>
      <c r="EJ23" s="220"/>
      <c r="EK23" s="220"/>
      <c r="EL23" s="220"/>
      <c r="EM23" s="220"/>
      <c r="EN23" s="220"/>
      <c r="EO23" s="220"/>
      <c r="EP23" s="220"/>
      <c r="EQ23" s="220"/>
      <c r="ER23" s="220"/>
      <c r="ES23" s="220"/>
      <c r="ET23" s="220"/>
      <c r="EU23" s="220"/>
      <c r="EV23" s="220"/>
      <c r="EW23" s="220"/>
      <c r="EX23" s="220"/>
      <c r="EY23" s="220"/>
      <c r="EZ23" s="220"/>
      <c r="FA23" s="220"/>
      <c r="FB23" s="220"/>
      <c r="FC23" s="220"/>
      <c r="FD23" s="220"/>
      <c r="FE23" s="220"/>
      <c r="FF23" s="212" t="str">
        <f>TEXT(AB23,"#0.00%") &amp; " "</f>
        <v xml:space="preserve">96.67% </v>
      </c>
      <c r="FG23" s="220"/>
      <c r="FH23" s="220"/>
      <c r="FI23" s="220"/>
      <c r="FJ23" s="220"/>
      <c r="FK23" s="220"/>
      <c r="FL23" s="220"/>
      <c r="FM23" s="220"/>
      <c r="FN23" s="220"/>
      <c r="FO23" s="220"/>
      <c r="FP23" s="220"/>
      <c r="FQ23" s="220"/>
      <c r="FR23" s="220"/>
      <c r="FS23" s="220"/>
      <c r="FT23" s="220"/>
      <c r="FU23" s="220"/>
      <c r="FV23" s="220"/>
      <c r="FW23" s="220"/>
      <c r="FX23" s="220"/>
      <c r="FY23" s="220"/>
      <c r="FZ23" s="220"/>
      <c r="GA23" s="220"/>
      <c r="GB23" s="220"/>
      <c r="GC23" s="220"/>
      <c r="GD23" s="220"/>
      <c r="GE23" s="220"/>
      <c r="GF23" s="220"/>
      <c r="GG23" s="220"/>
      <c r="GH23" s="220"/>
      <c r="GI23" s="220"/>
      <c r="GJ23" s="220"/>
      <c r="GK23" s="220"/>
      <c r="GL23" s="220"/>
      <c r="GM23" s="220"/>
      <c r="GN23" s="220"/>
    </row>
    <row r="24" spans="1:196">
      <c r="A24" s="184"/>
      <c r="B24" s="184"/>
      <c r="C24" s="184">
        <v>5</v>
      </c>
      <c r="D24" s="195" t="s">
        <v>1063</v>
      </c>
      <c r="E24" s="185"/>
      <c r="F24" s="185"/>
      <c r="G24" s="185"/>
      <c r="H24" s="185"/>
      <c r="I24" s="223" t="s">
        <v>1057</v>
      </c>
      <c r="J24" s="224"/>
      <c r="K24" s="185"/>
      <c r="L24" s="185"/>
      <c r="M24" s="159">
        <v>43018</v>
      </c>
      <c r="N24" s="159">
        <v>43032</v>
      </c>
      <c r="O24" s="186"/>
      <c r="P24" s="187">
        <v>22</v>
      </c>
      <c r="Q24" s="187">
        <v>22</v>
      </c>
      <c r="R24" s="188">
        <f ca="1">IF(M24="","0",(N24-M24+1)-COUNTIFS(INDIRECT(getCalendarRange(O24)),"&gt;=" &amp; M24,INDIRECT(getCalendarRange(O24)),"&lt;=" &amp; N24))</f>
        <v>11</v>
      </c>
      <c r="S24" s="188">
        <f ca="1">IF(M24&gt;TODAY(),0,IF(N24&lt;TODAY(),R24,(TODAY()-M24+1)-COUNTIFS(INDIRECT(getCalendarRange(O24)),"&gt;=" &amp; M24,INDIRECT(getCalendarRange(O24)),"&lt;=" &amp; TODAY())))</f>
        <v>11</v>
      </c>
      <c r="T24" s="159"/>
      <c r="U24" s="159"/>
      <c r="V24" s="189"/>
      <c r="W24" s="190" t="str">
        <f ca="1">IF(U24="","0",IF(T24="","0",(U24-T24+1)-COUNTIFS(INDIRECT(getCalendarRange(O24)),"&gt;=" &amp; T24,INDIRECT(getCalendarRange(O24)),"&lt;=" &amp; U24)))</f>
        <v>0</v>
      </c>
      <c r="X24" s="191">
        <v>2</v>
      </c>
      <c r="Y24" s="210"/>
      <c r="Z24" s="192"/>
      <c r="AA24" s="193">
        <v>1</v>
      </c>
      <c r="AB24" s="194">
        <v>1</v>
      </c>
      <c r="AC24" s="221"/>
      <c r="AD24" s="220"/>
      <c r="AE24" s="220"/>
      <c r="AF24" s="220"/>
      <c r="AG24" s="220"/>
      <c r="AH24" s="220"/>
      <c r="AI24" s="220"/>
      <c r="AJ24" s="220"/>
      <c r="AK24" s="220"/>
      <c r="AL24" s="220"/>
      <c r="AM24" s="220"/>
      <c r="AN24" s="220"/>
      <c r="AO24" s="220"/>
      <c r="AP24" s="220"/>
      <c r="AQ24" s="220"/>
      <c r="AR24" s="220"/>
      <c r="AS24" s="220"/>
      <c r="AT24" s="220"/>
      <c r="AU24" s="220"/>
      <c r="AV24" s="220"/>
      <c r="AW24" s="220"/>
      <c r="AX24" s="220"/>
      <c r="AY24" s="220"/>
      <c r="AZ24" s="220"/>
      <c r="BA24" s="220"/>
      <c r="BB24" s="220"/>
      <c r="BC24" s="220"/>
      <c r="BD24" s="220"/>
      <c r="BE24" s="220"/>
      <c r="BF24" s="220"/>
      <c r="BG24" s="220"/>
      <c r="BH24" s="220"/>
      <c r="BI24" s="220"/>
      <c r="BJ24" s="220"/>
      <c r="BK24" s="220"/>
      <c r="BL24" s="220"/>
      <c r="BM24" s="220"/>
      <c r="BN24" s="220"/>
      <c r="BO24" s="220"/>
      <c r="BP24" s="220"/>
      <c r="BQ24" s="220"/>
      <c r="BR24" s="220"/>
      <c r="BS24" s="220"/>
      <c r="BT24" s="220"/>
      <c r="BU24" s="220"/>
      <c r="BV24" s="220"/>
      <c r="BW24" s="220"/>
      <c r="BX24" s="220"/>
      <c r="BY24" s="220"/>
      <c r="BZ24" s="220"/>
      <c r="CA24" s="220"/>
      <c r="CB24" s="220"/>
      <c r="CC24" s="220"/>
      <c r="CD24" s="220"/>
      <c r="CE24" s="220"/>
      <c r="CF24" s="220"/>
      <c r="CG24" s="220"/>
      <c r="CH24" s="220"/>
      <c r="CI24" s="220"/>
      <c r="CJ24" s="220"/>
      <c r="CK24" s="220"/>
      <c r="CL24" s="220"/>
      <c r="CM24" s="220"/>
      <c r="CN24" s="220"/>
      <c r="CO24" s="220"/>
      <c r="CP24" s="220"/>
      <c r="CQ24" s="220"/>
      <c r="CR24" s="220"/>
      <c r="CS24" s="220"/>
      <c r="CT24" s="220"/>
      <c r="CU24" s="220"/>
      <c r="CV24" s="220"/>
      <c r="CW24" s="220"/>
      <c r="CX24" s="220"/>
      <c r="CY24" s="220"/>
      <c r="CZ24" s="220"/>
      <c r="DA24" s="220"/>
      <c r="DB24" s="220"/>
      <c r="DC24" s="220"/>
      <c r="DD24" s="220"/>
      <c r="DE24" s="220"/>
      <c r="DF24" s="220"/>
      <c r="DG24" s="220"/>
      <c r="DH24" s="220"/>
      <c r="DI24" s="220"/>
      <c r="DJ24" s="220" t="str">
        <f>I24 &amp; " " &amp; IF(M24="","",TEXT(M24,"M/D-")) &amp; IF(N24="","",TEXT(N24,"M/D")) &amp; " "</f>
        <v xml:space="preserve">지도, GPS 10/10-10/24 </v>
      </c>
      <c r="DK24" s="220"/>
      <c r="DL24" s="220"/>
      <c r="DM24" s="220"/>
      <c r="DN24" s="220"/>
      <c r="DO24" s="220"/>
      <c r="DP24" s="220"/>
      <c r="DQ24" s="220"/>
      <c r="DR24" s="212"/>
      <c r="DS24" s="220"/>
      <c r="DT24" s="220"/>
      <c r="DU24" s="220"/>
      <c r="DV24" s="220"/>
      <c r="DW24" s="220"/>
      <c r="DX24" s="220"/>
      <c r="DY24" s="220"/>
      <c r="DZ24" s="212" t="str">
        <f>TEXT(AB24,"#0.00%") &amp; " "</f>
        <v xml:space="preserve">100.00% </v>
      </c>
      <c r="EA24" s="220"/>
      <c r="EB24" s="220"/>
      <c r="EC24" s="220"/>
      <c r="ED24" s="220"/>
      <c r="EE24" s="220"/>
      <c r="EF24" s="220"/>
      <c r="EG24" s="220"/>
      <c r="EH24" s="220"/>
      <c r="EI24" s="220"/>
      <c r="EJ24" s="220"/>
      <c r="EK24" s="220"/>
      <c r="EL24" s="220"/>
      <c r="EM24" s="220"/>
      <c r="EN24" s="220"/>
      <c r="EO24" s="220"/>
      <c r="EP24" s="220"/>
      <c r="EQ24" s="220"/>
      <c r="ER24" s="220"/>
      <c r="ES24" s="220"/>
      <c r="ET24" s="220"/>
      <c r="EU24" s="220"/>
      <c r="EV24" s="220"/>
      <c r="EW24" s="220"/>
      <c r="EX24" s="220"/>
      <c r="EY24" s="220"/>
      <c r="EZ24" s="220"/>
      <c r="FA24" s="220"/>
      <c r="FB24" s="220"/>
      <c r="FC24" s="220"/>
      <c r="FD24" s="220"/>
      <c r="FE24" s="220"/>
      <c r="FF24" s="220"/>
      <c r="FG24" s="220"/>
      <c r="FH24" s="220"/>
      <c r="FI24" s="220"/>
      <c r="FJ24" s="220"/>
      <c r="FK24" s="220"/>
      <c r="FL24" s="220"/>
      <c r="FM24" s="220"/>
      <c r="FN24" s="220"/>
      <c r="FO24" s="220"/>
      <c r="FP24" s="220"/>
      <c r="FQ24" s="220"/>
      <c r="FR24" s="220"/>
      <c r="FS24" s="220"/>
      <c r="FT24" s="220"/>
      <c r="FU24" s="220"/>
      <c r="FV24" s="220"/>
      <c r="FW24" s="220"/>
      <c r="FX24" s="220"/>
      <c r="FY24" s="220"/>
      <c r="FZ24" s="220"/>
      <c r="GA24" s="220"/>
      <c r="GB24" s="220"/>
      <c r="GC24" s="220"/>
      <c r="GD24" s="220"/>
      <c r="GE24" s="220"/>
      <c r="GF24" s="220"/>
      <c r="GG24" s="220"/>
      <c r="GH24" s="220"/>
      <c r="GI24" s="220"/>
      <c r="GJ24" s="220"/>
      <c r="GK24" s="220"/>
      <c r="GL24" s="220"/>
      <c r="GM24" s="220"/>
      <c r="GN24" s="220"/>
    </row>
    <row r="25" spans="1:196">
      <c r="A25" s="184"/>
      <c r="B25" s="184"/>
      <c r="C25" s="184">
        <v>5</v>
      </c>
      <c r="D25" s="195" t="s">
        <v>1064</v>
      </c>
      <c r="E25" s="185"/>
      <c r="F25" s="185"/>
      <c r="G25" s="185"/>
      <c r="H25" s="185"/>
      <c r="I25" s="185" t="s">
        <v>1058</v>
      </c>
      <c r="J25" s="224"/>
      <c r="K25" s="185"/>
      <c r="L25" s="185"/>
      <c r="M25" s="159">
        <v>43033</v>
      </c>
      <c r="N25" s="159">
        <v>43052</v>
      </c>
      <c r="O25" s="186"/>
      <c r="P25" s="187">
        <v>28</v>
      </c>
      <c r="Q25" s="187">
        <v>16</v>
      </c>
      <c r="R25" s="188">
        <f ca="1">IF(M25="","0",(N25-M25+1)-COUNTIFS(INDIRECT(getCalendarRange(O25)),"&gt;=" &amp; M25,INDIRECT(getCalendarRange(O25)),"&lt;=" &amp; N25))</f>
        <v>14</v>
      </c>
      <c r="S25" s="188">
        <f ca="1">IF(M25&gt;TODAY(),0,IF(N25&lt;TODAY(),R25,(TODAY()-M25+1)-COUNTIFS(INDIRECT(getCalendarRange(O25)),"&gt;=" &amp; M25,INDIRECT(getCalendarRange(O25)),"&lt;=" &amp; TODAY())))</f>
        <v>8</v>
      </c>
      <c r="T25" s="159"/>
      <c r="U25" s="159"/>
      <c r="V25" s="189"/>
      <c r="W25" s="190" t="str">
        <f ca="1">IF(U25="","0",IF(T25="","0",(U25-T25+1)-COUNTIFS(INDIRECT(getCalendarRange(O25)),"&gt;=" &amp; T25,INDIRECT(getCalendarRange(O25)),"&lt;=" &amp; U25)))</f>
        <v>0</v>
      </c>
      <c r="X25" s="191">
        <v>2</v>
      </c>
      <c r="Y25" s="186"/>
      <c r="Z25" s="192"/>
      <c r="AA25" s="193">
        <v>0.5714285714285714</v>
      </c>
      <c r="AB25" s="194">
        <v>1</v>
      </c>
      <c r="AC25" s="221"/>
      <c r="AD25" s="220"/>
      <c r="AE25" s="220"/>
      <c r="AF25" s="220"/>
      <c r="AG25" s="220"/>
      <c r="AH25" s="220"/>
      <c r="AI25" s="220"/>
      <c r="AJ25" s="220"/>
      <c r="AK25" s="220"/>
      <c r="AL25" s="220"/>
      <c r="AM25" s="220"/>
      <c r="AN25" s="220"/>
      <c r="AO25" s="220"/>
      <c r="AP25" s="220"/>
      <c r="AQ25" s="220"/>
      <c r="AR25" s="220"/>
      <c r="AS25" s="220"/>
      <c r="AT25" s="220"/>
      <c r="AU25" s="220"/>
      <c r="AV25" s="220"/>
      <c r="AW25" s="220"/>
      <c r="AX25" s="220"/>
      <c r="AY25" s="220"/>
      <c r="AZ25" s="220"/>
      <c r="BA25" s="220"/>
      <c r="BB25" s="220"/>
      <c r="BC25" s="220"/>
      <c r="BD25" s="220"/>
      <c r="BE25" s="220"/>
      <c r="BF25" s="220"/>
      <c r="BG25" s="220"/>
      <c r="BH25" s="220"/>
      <c r="BI25" s="220"/>
      <c r="BJ25" s="220"/>
      <c r="BK25" s="220"/>
      <c r="BL25" s="220"/>
      <c r="BM25" s="220"/>
      <c r="BN25" s="220"/>
      <c r="BO25" s="220"/>
      <c r="BP25" s="220"/>
      <c r="BQ25" s="220"/>
      <c r="BR25" s="220"/>
      <c r="BS25" s="220"/>
      <c r="BT25" s="220"/>
      <c r="BU25" s="220"/>
      <c r="BV25" s="220"/>
      <c r="BW25" s="220"/>
      <c r="BX25" s="220"/>
      <c r="BY25" s="220"/>
      <c r="BZ25" s="220"/>
      <c r="CA25" s="220"/>
      <c r="CB25" s="220"/>
      <c r="CC25" s="220"/>
      <c r="CD25" s="220"/>
      <c r="CE25" s="220"/>
      <c r="CF25" s="220"/>
      <c r="CG25" s="220"/>
      <c r="CH25" s="220"/>
      <c r="CI25" s="220"/>
      <c r="CJ25" s="220"/>
      <c r="CK25" s="220"/>
      <c r="CL25" s="220"/>
      <c r="CM25" s="220"/>
      <c r="CN25" s="220"/>
      <c r="CO25" s="220"/>
      <c r="CP25" s="220"/>
      <c r="CQ25" s="220"/>
      <c r="CR25" s="220"/>
      <c r="CS25" s="220"/>
      <c r="CT25" s="220"/>
      <c r="CU25" s="220"/>
      <c r="CV25" s="220"/>
      <c r="CW25" s="220"/>
      <c r="CX25" s="220"/>
      <c r="CY25" s="220"/>
      <c r="CZ25" s="220"/>
      <c r="DA25" s="220"/>
      <c r="DB25" s="220"/>
      <c r="DC25" s="220"/>
      <c r="DD25" s="220"/>
      <c r="DE25" s="220"/>
      <c r="DF25" s="220"/>
      <c r="DG25" s="220"/>
      <c r="DH25" s="220"/>
      <c r="DI25" s="220"/>
      <c r="DJ25" s="220"/>
      <c r="DK25" s="220"/>
      <c r="DL25" s="220"/>
      <c r="DM25" s="220"/>
      <c r="DN25" s="220"/>
      <c r="DO25" s="220"/>
      <c r="DP25" s="220"/>
      <c r="DQ25" s="220"/>
      <c r="DR25" s="220"/>
      <c r="DS25" s="220"/>
      <c r="DT25" s="220"/>
      <c r="DU25" s="220"/>
      <c r="DV25" s="220"/>
      <c r="DW25" s="220"/>
      <c r="DX25" s="220"/>
      <c r="DY25" s="220" t="str">
        <f>I25 &amp; " " &amp; IF(M25="","",TEXT(M25,"M/D-")) &amp; IF(N25="","",TEXT(N25,"M/D")) &amp; " "</f>
        <v xml:space="preserve">목록 DB연동 10/25-11/13 </v>
      </c>
      <c r="DZ25" s="212"/>
      <c r="EA25" s="220"/>
      <c r="EB25" s="220"/>
      <c r="EC25" s="220"/>
      <c r="ED25" s="220"/>
      <c r="EE25" s="220"/>
      <c r="EF25" s="220"/>
      <c r="EG25" s="220"/>
      <c r="EH25" s="220"/>
      <c r="EI25" s="220"/>
      <c r="EJ25" s="220"/>
      <c r="EK25" s="220"/>
      <c r="EL25" s="220"/>
      <c r="EM25" s="220"/>
      <c r="EN25" s="220"/>
      <c r="EO25" s="220"/>
      <c r="EP25" s="220"/>
      <c r="EQ25" s="220"/>
      <c r="ER25" s="220"/>
      <c r="ES25" s="220"/>
      <c r="ET25" s="212" t="str">
        <f>TEXT(AB25,"#0.00%") &amp; " "</f>
        <v xml:space="preserve">100.00% </v>
      </c>
      <c r="EU25" s="220"/>
      <c r="EV25" s="220"/>
      <c r="EW25" s="220"/>
      <c r="EX25" s="220"/>
      <c r="EY25" s="220"/>
      <c r="EZ25" s="220"/>
      <c r="FA25" s="220"/>
      <c r="FB25" s="220"/>
      <c r="FC25" s="220"/>
      <c r="FD25" s="220"/>
      <c r="FE25" s="220"/>
      <c r="FF25" s="220"/>
      <c r="FG25" s="220"/>
      <c r="FH25" s="220"/>
      <c r="FI25" s="220"/>
      <c r="FJ25" s="220"/>
      <c r="FK25" s="220"/>
      <c r="FL25" s="220"/>
      <c r="FM25" s="220"/>
      <c r="FN25" s="220"/>
      <c r="FO25" s="220"/>
      <c r="FP25" s="220"/>
      <c r="FQ25" s="220"/>
      <c r="FR25" s="220"/>
      <c r="FS25" s="220"/>
      <c r="FT25" s="220"/>
      <c r="FU25" s="220"/>
      <c r="FV25" s="220"/>
      <c r="FW25" s="220"/>
      <c r="FX25" s="220"/>
      <c r="FY25" s="220"/>
      <c r="FZ25" s="220"/>
      <c r="GA25" s="220"/>
      <c r="GB25" s="220"/>
      <c r="GC25" s="220"/>
      <c r="GD25" s="220"/>
      <c r="GE25" s="220"/>
      <c r="GF25" s="220"/>
      <c r="GG25" s="220"/>
      <c r="GH25" s="220"/>
      <c r="GI25" s="220"/>
      <c r="GJ25" s="220"/>
      <c r="GK25" s="220"/>
      <c r="GL25" s="220"/>
      <c r="GM25" s="220"/>
      <c r="GN25" s="220"/>
    </row>
    <row r="26" spans="1:196">
      <c r="A26" s="184"/>
      <c r="B26" s="184"/>
      <c r="C26" s="184">
        <v>5</v>
      </c>
      <c r="D26" s="195" t="s">
        <v>1085</v>
      </c>
      <c r="E26" s="185"/>
      <c r="F26" s="185"/>
      <c r="G26" s="185"/>
      <c r="H26" s="185"/>
      <c r="I26" s="223" t="s">
        <v>1084</v>
      </c>
      <c r="J26" s="185"/>
      <c r="K26" s="185"/>
      <c r="L26" s="185"/>
      <c r="M26" s="159">
        <v>43053</v>
      </c>
      <c r="N26" s="159">
        <v>43066</v>
      </c>
      <c r="O26" s="186"/>
      <c r="P26" s="187">
        <v>10</v>
      </c>
      <c r="Q26" s="187">
        <v>0</v>
      </c>
      <c r="R26" s="188">
        <f ca="1">IF(M26="","0",(N26-M26+1)-COUNTIFS(INDIRECT(getCalendarRange(O26)),"&gt;=" &amp; M26,INDIRECT(getCalendarRange(O26)),"&lt;=" &amp; N26))</f>
        <v>10</v>
      </c>
      <c r="S26" s="188">
        <f ca="1">IF(M26&gt;TODAY(),0,IF(N26&lt;TODAY(),R26,(TODAY()-M26+1)-COUNTIFS(INDIRECT(getCalendarRange(O26)),"&gt;=" &amp; M26,INDIRECT(getCalendarRange(O26)),"&lt;=" &amp; TODAY())))</f>
        <v>0</v>
      </c>
      <c r="T26" s="159"/>
      <c r="U26" s="159"/>
      <c r="V26" s="189"/>
      <c r="W26" s="190" t="str">
        <f ca="1">IF(U26="","0",IF(T26="","0",(U26-T26+1)-COUNTIFS(INDIRECT(getCalendarRange(O26)),"&gt;=" &amp; T26,INDIRECT(getCalendarRange(O26)),"&lt;=" &amp; U26)))</f>
        <v>0</v>
      </c>
      <c r="X26" s="191">
        <v>1</v>
      </c>
      <c r="Y26" s="186"/>
      <c r="Z26" s="225"/>
      <c r="AA26" s="193">
        <v>0</v>
      </c>
      <c r="AB26" s="194">
        <v>0.8</v>
      </c>
      <c r="AC26" s="221"/>
      <c r="AD26" s="220"/>
      <c r="AE26" s="220"/>
      <c r="AF26" s="220"/>
      <c r="AG26" s="220"/>
      <c r="AH26" s="220"/>
      <c r="AI26" s="220"/>
      <c r="AJ26" s="220"/>
      <c r="AK26" s="220"/>
      <c r="AL26" s="220"/>
      <c r="AM26" s="220"/>
      <c r="AN26" s="220"/>
      <c r="AO26" s="220"/>
      <c r="AP26" s="220"/>
      <c r="AQ26" s="220"/>
      <c r="AR26" s="220"/>
      <c r="AS26" s="220"/>
      <c r="AT26" s="220"/>
      <c r="AU26" s="220"/>
      <c r="AV26" s="220"/>
      <c r="AW26" s="220"/>
      <c r="AX26" s="220"/>
      <c r="AY26" s="220"/>
      <c r="AZ26" s="220"/>
      <c r="BA26" s="220"/>
      <c r="BB26" s="220"/>
      <c r="BC26" s="220"/>
      <c r="BD26" s="220"/>
      <c r="BE26" s="220"/>
      <c r="BF26" s="220"/>
      <c r="BG26" s="220"/>
      <c r="BH26" s="220"/>
      <c r="BI26" s="220"/>
      <c r="BJ26" s="220"/>
      <c r="BK26" s="220"/>
      <c r="BL26" s="220"/>
      <c r="BM26" s="220"/>
      <c r="BN26" s="220"/>
      <c r="BO26" s="220"/>
      <c r="BP26" s="220"/>
      <c r="BQ26" s="220"/>
      <c r="BR26" s="220"/>
      <c r="BS26" s="220"/>
      <c r="BT26" s="220"/>
      <c r="BU26" s="220"/>
      <c r="BV26" s="220"/>
      <c r="BW26" s="220"/>
      <c r="BX26" s="220"/>
      <c r="BY26" s="220"/>
      <c r="BZ26" s="220"/>
      <c r="CA26" s="220"/>
      <c r="CB26" s="220"/>
      <c r="CC26" s="220"/>
      <c r="CD26" s="220"/>
      <c r="CE26" s="220"/>
      <c r="CF26" s="220"/>
      <c r="CG26" s="220"/>
      <c r="CH26" s="220"/>
      <c r="CI26" s="220"/>
      <c r="CJ26" s="220"/>
      <c r="CK26" s="220"/>
      <c r="CL26" s="220"/>
      <c r="CM26" s="220"/>
      <c r="CN26" s="220"/>
      <c r="CO26" s="220"/>
      <c r="CP26" s="220"/>
      <c r="CQ26" s="220"/>
      <c r="CR26" s="220"/>
      <c r="CS26" s="220"/>
      <c r="CT26" s="220"/>
      <c r="CU26" s="220"/>
      <c r="CV26" s="220"/>
      <c r="CW26" s="220"/>
      <c r="CX26" s="220"/>
      <c r="CY26" s="220"/>
      <c r="CZ26" s="220"/>
      <c r="DA26" s="220"/>
      <c r="DB26" s="220"/>
      <c r="DC26" s="220"/>
      <c r="DD26" s="220"/>
      <c r="DE26" s="220"/>
      <c r="DF26" s="220"/>
      <c r="DG26" s="220"/>
      <c r="DH26" s="220"/>
      <c r="DI26" s="220"/>
      <c r="DJ26" s="220"/>
      <c r="DK26" s="220"/>
      <c r="DL26" s="220"/>
      <c r="DM26" s="220"/>
      <c r="DN26" s="220"/>
      <c r="DO26" s="220"/>
      <c r="DP26" s="220"/>
      <c r="DQ26" s="220"/>
      <c r="DR26" s="220"/>
      <c r="DS26" s="220"/>
      <c r="DT26" s="220"/>
      <c r="DU26" s="220"/>
      <c r="DV26" s="220"/>
      <c r="DW26" s="220"/>
      <c r="DX26" s="220"/>
      <c r="DY26" s="220"/>
      <c r="DZ26" s="220"/>
      <c r="EA26" s="220"/>
      <c r="EB26" s="220"/>
      <c r="EC26" s="220"/>
      <c r="ED26" s="220"/>
      <c r="EE26" s="220"/>
      <c r="EF26" s="220"/>
      <c r="EG26" s="220"/>
      <c r="EH26" s="220"/>
      <c r="EI26" s="220"/>
      <c r="EJ26" s="220"/>
      <c r="EK26" s="220"/>
      <c r="EL26" s="220"/>
      <c r="EM26" s="220"/>
      <c r="EN26" s="220"/>
      <c r="EO26" s="220"/>
      <c r="EP26" s="220"/>
      <c r="EQ26" s="220"/>
      <c r="ER26" s="220"/>
      <c r="ES26" s="220" t="str">
        <f>I26 &amp; " " &amp; IF(M26="","",TEXT(M26,"M/D-")) &amp; IF(N26="","",TEXT(N26,"M/D")) &amp; " "</f>
        <v xml:space="preserve">사진기능 11/14-11/27 </v>
      </c>
      <c r="ET26" s="212"/>
      <c r="EU26" s="220"/>
      <c r="EV26" s="220"/>
      <c r="EW26" s="220"/>
      <c r="EX26" s="220"/>
      <c r="EY26" s="220"/>
      <c r="EZ26" s="220"/>
      <c r="FA26" s="220"/>
      <c r="FB26" s="220"/>
      <c r="FC26" s="220"/>
      <c r="FD26" s="220"/>
      <c r="FE26" s="212" t="str">
        <f>TEXT(AB26,"#0.00%") &amp; " "</f>
        <v xml:space="preserve">80.00% </v>
      </c>
      <c r="FF26" s="220"/>
      <c r="FG26" s="220"/>
      <c r="FH26" s="220"/>
      <c r="FI26" s="220"/>
      <c r="FJ26" s="220"/>
      <c r="FK26" s="220"/>
      <c r="FL26" s="220"/>
      <c r="FM26" s="220"/>
      <c r="FN26" s="220"/>
      <c r="FO26" s="220"/>
      <c r="FP26" s="220"/>
      <c r="FQ26" s="220"/>
      <c r="FR26" s="220"/>
      <c r="FS26" s="220"/>
      <c r="FT26" s="220"/>
      <c r="FU26" s="220"/>
      <c r="FV26" s="220"/>
      <c r="FW26" s="220"/>
      <c r="FX26" s="220"/>
      <c r="FY26" s="220"/>
      <c r="FZ26" s="220"/>
      <c r="GA26" s="220"/>
      <c r="GB26" s="220"/>
      <c r="GC26" s="220"/>
      <c r="GD26" s="220"/>
      <c r="GE26" s="220"/>
      <c r="GF26" s="220"/>
      <c r="GG26" s="220"/>
      <c r="GH26" s="220"/>
      <c r="GI26" s="220"/>
      <c r="GJ26" s="220"/>
      <c r="GK26" s="220"/>
      <c r="GL26" s="220"/>
      <c r="GM26" s="220"/>
      <c r="GN26" s="220"/>
    </row>
    <row r="27" spans="1:196">
      <c r="A27" s="184"/>
      <c r="B27" s="184" t="s">
        <v>993</v>
      </c>
      <c r="C27" s="184">
        <v>4</v>
      </c>
      <c r="D27" s="195" t="s">
        <v>1105</v>
      </c>
      <c r="E27" s="185"/>
      <c r="F27" s="185"/>
      <c r="G27" s="185"/>
      <c r="H27" s="185" t="s">
        <v>1081</v>
      </c>
      <c r="I27" s="185"/>
      <c r="J27" s="185"/>
      <c r="K27" s="185"/>
      <c r="L27" s="185"/>
      <c r="M27" s="159">
        <v>43067</v>
      </c>
      <c r="N27" s="159">
        <v>43079</v>
      </c>
      <c r="O27" s="186"/>
      <c r="P27" s="187">
        <v>11</v>
      </c>
      <c r="Q27" s="187">
        <v>0</v>
      </c>
      <c r="R27" s="188">
        <f ca="1">IF(M27="","0",(N27-M27+1)-COUNTIFS(INDIRECT(getCalendarRange(O27)),"&gt;=" &amp; M27,INDIRECT(getCalendarRange(O27)),"&lt;=" &amp; N27))</f>
        <v>9</v>
      </c>
      <c r="S27" s="188">
        <f ca="1">IF(M27&gt;TODAY(),0,IF(N27&lt;TODAY(),R27,(TODAY()-M27+1)-COUNTIFS(INDIRECT(getCalendarRange(O27)),"&gt;=" &amp; M27,INDIRECT(getCalendarRange(O27)),"&lt;=" &amp; TODAY())))</f>
        <v>0</v>
      </c>
      <c r="T27" s="159"/>
      <c r="U27" s="159"/>
      <c r="V27" s="189">
        <v>0</v>
      </c>
      <c r="W27" s="190" t="str">
        <f ca="1">IF(U27="","0",IF(T27="","0",(U27-T27+1)-COUNTIFS(INDIRECT(getCalendarRange(O27)),"&gt;=" &amp; T27,INDIRECT(getCalendarRange(O27)),"&lt;=" &amp; U27)))</f>
        <v>0</v>
      </c>
      <c r="X27" s="191"/>
      <c r="Y27" s="186"/>
      <c r="Z27" s="192"/>
      <c r="AA27" s="193">
        <v>0</v>
      </c>
      <c r="AB27" s="194">
        <v>0.17727272727272728</v>
      </c>
      <c r="AC27" s="221"/>
      <c r="AD27" s="220"/>
      <c r="AE27" s="220"/>
      <c r="AF27" s="220"/>
      <c r="AG27" s="220"/>
      <c r="AH27" s="220"/>
      <c r="AI27" s="220"/>
      <c r="AJ27" s="220"/>
      <c r="AK27" s="220"/>
      <c r="AL27" s="220"/>
      <c r="AM27" s="220"/>
      <c r="AN27" s="220"/>
      <c r="AO27" s="220"/>
      <c r="AP27" s="220"/>
      <c r="AQ27" s="220"/>
      <c r="AR27" s="220"/>
      <c r="AS27" s="220"/>
      <c r="AT27" s="220"/>
      <c r="AU27" s="220"/>
      <c r="AV27" s="220"/>
      <c r="AW27" s="220"/>
      <c r="AX27" s="220"/>
      <c r="AY27" s="220"/>
      <c r="AZ27" s="220"/>
      <c r="BA27" s="220"/>
      <c r="BB27" s="220"/>
      <c r="BC27" s="220"/>
      <c r="BD27" s="220"/>
      <c r="BE27" s="220"/>
      <c r="BF27" s="220"/>
      <c r="BG27" s="220"/>
      <c r="BH27" s="220"/>
      <c r="BI27" s="220"/>
      <c r="BJ27" s="220"/>
      <c r="BK27" s="220"/>
      <c r="BL27" s="220"/>
      <c r="BM27" s="220"/>
      <c r="BN27" s="220"/>
      <c r="BO27" s="220"/>
      <c r="BP27" s="220"/>
      <c r="BQ27" s="220"/>
      <c r="BR27" s="220"/>
      <c r="BS27" s="220"/>
      <c r="BT27" s="220"/>
      <c r="BU27" s="220"/>
      <c r="BV27" s="220"/>
      <c r="BW27" s="220"/>
      <c r="BX27" s="220"/>
      <c r="BY27" s="220"/>
      <c r="BZ27" s="220"/>
      <c r="CA27" s="220"/>
      <c r="CB27" s="220"/>
      <c r="CC27" s="220"/>
      <c r="CD27" s="220"/>
      <c r="CE27" s="220"/>
      <c r="CF27" s="220"/>
      <c r="CG27" s="220"/>
      <c r="CH27" s="220"/>
      <c r="CI27" s="220"/>
      <c r="CJ27" s="220"/>
      <c r="CK27" s="220"/>
      <c r="CL27" s="220"/>
      <c r="CM27" s="220"/>
      <c r="CN27" s="220"/>
      <c r="CO27" s="220"/>
      <c r="CP27" s="220"/>
      <c r="CQ27" s="220"/>
      <c r="CR27" s="220"/>
      <c r="CS27" s="220"/>
      <c r="CT27" s="220"/>
      <c r="CU27" s="220"/>
      <c r="CV27" s="220"/>
      <c r="CW27" s="220"/>
      <c r="CX27" s="220"/>
      <c r="CY27" s="220"/>
      <c r="CZ27" s="220"/>
      <c r="DA27" s="220"/>
      <c r="DB27" s="220"/>
      <c r="DC27" s="220"/>
      <c r="DD27" s="220"/>
      <c r="DE27" s="220"/>
      <c r="DF27" s="220"/>
      <c r="DG27" s="220"/>
      <c r="DH27" s="220"/>
      <c r="DI27" s="220"/>
      <c r="DJ27" s="220"/>
      <c r="DK27" s="220"/>
      <c r="DL27" s="220"/>
      <c r="DM27" s="220"/>
      <c r="DN27" s="220"/>
      <c r="DO27" s="220"/>
      <c r="DP27" s="220"/>
      <c r="DQ27" s="220"/>
      <c r="DR27" s="220"/>
      <c r="DS27" s="220"/>
      <c r="DT27" s="220"/>
      <c r="DU27" s="220"/>
      <c r="DV27" s="220"/>
      <c r="DW27" s="220"/>
      <c r="DX27" s="220"/>
      <c r="DY27" s="220"/>
      <c r="DZ27" s="220"/>
      <c r="EA27" s="220"/>
      <c r="EB27" s="220"/>
      <c r="EC27" s="220"/>
      <c r="ED27" s="220"/>
      <c r="EE27" s="220"/>
      <c r="EF27" s="220"/>
      <c r="EG27" s="220"/>
      <c r="EH27" s="220"/>
      <c r="EI27" s="220"/>
      <c r="EJ27" s="220"/>
      <c r="EK27" s="220"/>
      <c r="EL27" s="220"/>
      <c r="EM27" s="220"/>
      <c r="EN27" s="220"/>
      <c r="EO27" s="220"/>
      <c r="EP27" s="220"/>
      <c r="EQ27" s="220"/>
      <c r="ER27" s="220"/>
      <c r="ES27" s="220"/>
      <c r="ET27" s="220"/>
      <c r="EU27" s="220"/>
      <c r="EV27" s="220"/>
      <c r="EW27" s="220"/>
      <c r="EX27" s="220"/>
      <c r="EY27" s="220"/>
      <c r="EZ27" s="220"/>
      <c r="FA27" s="220"/>
      <c r="FB27" s="220"/>
      <c r="FC27" s="220"/>
      <c r="FD27" s="220"/>
      <c r="FE27" s="220"/>
      <c r="FF27" s="220"/>
      <c r="FG27" s="220" t="str">
        <f>H27 &amp; " " &amp; IF(M27="","",TEXT(M27,"M/D-")) &amp; IF(N27="","",TEXT(N27,"M/D")) &amp; " "</f>
        <v xml:space="preserve">UI 11/28-12/10 </v>
      </c>
      <c r="FH27" s="212"/>
      <c r="FI27" s="220"/>
      <c r="FJ27" s="212" t="str">
        <f>TEXT(AB27,"#0.00%") &amp; " "</f>
        <v xml:space="preserve">17.73% </v>
      </c>
      <c r="FK27" s="220"/>
      <c r="FL27" s="220"/>
      <c r="FM27" s="220"/>
      <c r="FN27" s="220"/>
      <c r="FO27" s="220"/>
      <c r="FP27" s="220"/>
      <c r="FQ27" s="220"/>
      <c r="FR27" s="220"/>
      <c r="FS27" s="220"/>
      <c r="FT27" s="220"/>
      <c r="FU27" s="220"/>
      <c r="FV27" s="220"/>
      <c r="FW27" s="220"/>
      <c r="FX27" s="220"/>
      <c r="FY27" s="220"/>
      <c r="FZ27" s="220"/>
      <c r="GA27" s="220"/>
      <c r="GB27" s="220"/>
      <c r="GC27" s="220"/>
      <c r="GD27" s="220"/>
      <c r="GE27" s="220"/>
      <c r="GF27" s="220"/>
      <c r="GG27" s="220"/>
      <c r="GH27" s="220"/>
      <c r="GI27" s="220"/>
      <c r="GJ27" s="220"/>
      <c r="GK27" s="220"/>
      <c r="GL27" s="220"/>
      <c r="GM27" s="220"/>
      <c r="GN27" s="220"/>
    </row>
    <row r="28" spans="1:196">
      <c r="A28" s="184"/>
      <c r="B28" s="184"/>
      <c r="C28" s="184">
        <v>5</v>
      </c>
      <c r="D28" s="195" t="s">
        <v>1106</v>
      </c>
      <c r="E28" s="185"/>
      <c r="F28" s="185"/>
      <c r="G28" s="185"/>
      <c r="H28" s="185"/>
      <c r="I28" s="223" t="s">
        <v>1082</v>
      </c>
      <c r="J28" s="185"/>
      <c r="K28" s="185"/>
      <c r="L28" s="185"/>
      <c r="M28" s="159">
        <v>43067</v>
      </c>
      <c r="N28" s="159">
        <v>43073</v>
      </c>
      <c r="O28" s="186"/>
      <c r="P28" s="187">
        <v>5</v>
      </c>
      <c r="Q28" s="187">
        <v>0</v>
      </c>
      <c r="R28" s="188">
        <f ca="1">IF(M28="","0",(N28-M28+1)-COUNTIFS(INDIRECT(getCalendarRange(O28)),"&gt;=" &amp; M28,INDIRECT(getCalendarRange(O28)),"&lt;=" &amp; N28))</f>
        <v>5</v>
      </c>
      <c r="S28" s="188">
        <f ca="1">IF(M28&gt;TODAY(),0,IF(N28&lt;TODAY(),R28,(TODAY()-M28+1)-COUNTIFS(INDIRECT(getCalendarRange(O28)),"&gt;=" &amp; M28,INDIRECT(getCalendarRange(O28)),"&lt;=" &amp; TODAY())))</f>
        <v>0</v>
      </c>
      <c r="T28" s="159"/>
      <c r="U28" s="159"/>
      <c r="V28" s="189"/>
      <c r="W28" s="190" t="str">
        <f ca="1">IF(U28="","0",IF(T28="","0",(U28-T28+1)-COUNTIFS(INDIRECT(getCalendarRange(O28)),"&gt;=" &amp; T28,INDIRECT(getCalendarRange(O28)),"&lt;=" &amp; U28)))</f>
        <v>0</v>
      </c>
      <c r="X28" s="191">
        <v>1</v>
      </c>
      <c r="Y28" s="186"/>
      <c r="Z28" s="225"/>
      <c r="AA28" s="193">
        <v>0</v>
      </c>
      <c r="AB28" s="194">
        <v>0.15</v>
      </c>
      <c r="AC28" s="221"/>
      <c r="AD28" s="220"/>
      <c r="AE28" s="220"/>
      <c r="AF28" s="220"/>
      <c r="AG28" s="220"/>
      <c r="AH28" s="220"/>
      <c r="AI28" s="220"/>
      <c r="AJ28" s="220"/>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220"/>
      <c r="BN28" s="220"/>
      <c r="BO28" s="220"/>
      <c r="BP28" s="220"/>
      <c r="BQ28" s="220"/>
      <c r="BR28" s="220"/>
      <c r="BS28" s="220"/>
      <c r="BT28" s="220"/>
      <c r="BU28" s="220"/>
      <c r="BV28" s="220"/>
      <c r="BW28" s="220"/>
      <c r="BX28" s="220"/>
      <c r="BY28" s="220"/>
      <c r="BZ28" s="220"/>
      <c r="CA28" s="220"/>
      <c r="CB28" s="220"/>
      <c r="CC28" s="220"/>
      <c r="CD28" s="220"/>
      <c r="CE28" s="220"/>
      <c r="CF28" s="220"/>
      <c r="CG28" s="220"/>
      <c r="CH28" s="220"/>
      <c r="CI28" s="220"/>
      <c r="CJ28" s="220"/>
      <c r="CK28" s="220"/>
      <c r="CL28" s="220"/>
      <c r="CM28" s="220"/>
      <c r="CN28" s="220"/>
      <c r="CO28" s="220"/>
      <c r="CP28" s="220"/>
      <c r="CQ28" s="220"/>
      <c r="CR28" s="220"/>
      <c r="CS28" s="220"/>
      <c r="CT28" s="220"/>
      <c r="CU28" s="220"/>
      <c r="CV28" s="220"/>
      <c r="CW28" s="220"/>
      <c r="CX28" s="220"/>
      <c r="CY28" s="220"/>
      <c r="CZ28" s="220"/>
      <c r="DA28" s="220"/>
      <c r="DB28" s="220"/>
      <c r="DC28" s="220"/>
      <c r="DD28" s="220"/>
      <c r="DE28" s="220"/>
      <c r="DF28" s="220"/>
      <c r="DG28" s="220"/>
      <c r="DH28" s="220"/>
      <c r="DI28" s="220"/>
      <c r="DJ28" s="220"/>
      <c r="DK28" s="220"/>
      <c r="DL28" s="220"/>
      <c r="DM28" s="220"/>
      <c r="DN28" s="220"/>
      <c r="DO28" s="220"/>
      <c r="DP28" s="220"/>
      <c r="DQ28" s="220"/>
      <c r="DR28" s="220"/>
      <c r="DS28" s="220"/>
      <c r="DT28" s="220"/>
      <c r="DU28" s="220"/>
      <c r="DV28" s="220"/>
      <c r="DW28" s="220"/>
      <c r="DX28" s="220"/>
      <c r="DY28" s="220"/>
      <c r="DZ28" s="220"/>
      <c r="EA28" s="220"/>
      <c r="EB28" s="220"/>
      <c r="EC28" s="220"/>
      <c r="ED28" s="220"/>
      <c r="EE28" s="220"/>
      <c r="EF28" s="220"/>
      <c r="EG28" s="220"/>
      <c r="EH28" s="220"/>
      <c r="EI28" s="220"/>
      <c r="EJ28" s="220"/>
      <c r="EK28" s="220"/>
      <c r="EL28" s="220"/>
      <c r="EM28" s="220"/>
      <c r="EN28" s="220"/>
      <c r="EO28" s="220"/>
      <c r="EP28" s="220"/>
      <c r="EQ28" s="220"/>
      <c r="ER28" s="220"/>
      <c r="ES28" s="220"/>
      <c r="ET28" s="220"/>
      <c r="EU28" s="220"/>
      <c r="EV28" s="220"/>
      <c r="EW28" s="220"/>
      <c r="EX28" s="220"/>
      <c r="EY28" s="220"/>
      <c r="EZ28" s="220"/>
      <c r="FA28" s="220"/>
      <c r="FB28" s="220"/>
      <c r="FC28" s="220"/>
      <c r="FD28" s="220"/>
      <c r="FE28" s="220"/>
      <c r="FF28" s="220"/>
      <c r="FG28" s="220" t="str">
        <f>I28 &amp; " " &amp; IF(M28="","",TEXT(M28,"M/D-")) &amp; IF(N28="","",TEXT(N28,"M/D")) &amp; " "</f>
        <v xml:space="preserve">고객어플 11/28-12/4 </v>
      </c>
      <c r="FH28" s="212"/>
      <c r="FI28" s="212" t="str">
        <f>TEXT(AB28,"#0.00%") &amp; " "</f>
        <v xml:space="preserve">15.00% </v>
      </c>
      <c r="FJ28" s="220"/>
      <c r="FK28" s="220"/>
      <c r="FL28" s="220"/>
      <c r="FM28" s="220"/>
      <c r="FN28" s="220"/>
      <c r="FO28" s="220"/>
      <c r="FP28" s="220"/>
      <c r="FQ28" s="220"/>
      <c r="FR28" s="220"/>
      <c r="FS28" s="220"/>
      <c r="FT28" s="220"/>
      <c r="FU28" s="220"/>
      <c r="FV28" s="220"/>
      <c r="FW28" s="220"/>
      <c r="FX28" s="220"/>
      <c r="FY28" s="220"/>
      <c r="FZ28" s="220"/>
      <c r="GA28" s="220"/>
      <c r="GB28" s="220"/>
      <c r="GC28" s="220"/>
      <c r="GD28" s="220"/>
      <c r="GE28" s="220"/>
      <c r="GF28" s="220"/>
      <c r="GG28" s="220"/>
      <c r="GH28" s="220"/>
      <c r="GI28" s="220"/>
      <c r="GJ28" s="220"/>
      <c r="GK28" s="220"/>
      <c r="GL28" s="220"/>
      <c r="GM28" s="220"/>
      <c r="GN28" s="220"/>
    </row>
    <row r="29" spans="1:196">
      <c r="A29" s="184"/>
      <c r="B29" s="184"/>
      <c r="C29" s="184">
        <v>5</v>
      </c>
      <c r="D29" s="195" t="s">
        <v>1107</v>
      </c>
      <c r="E29" s="223"/>
      <c r="F29" s="224"/>
      <c r="G29" s="223"/>
      <c r="H29" s="185"/>
      <c r="I29" s="223" t="s">
        <v>1083</v>
      </c>
      <c r="J29" s="185"/>
      <c r="K29" s="185"/>
      <c r="L29" s="185"/>
      <c r="M29" s="159">
        <v>43074</v>
      </c>
      <c r="N29" s="159">
        <v>43079</v>
      </c>
      <c r="O29" s="186"/>
      <c r="P29" s="187">
        <v>6</v>
      </c>
      <c r="Q29" s="187">
        <v>0</v>
      </c>
      <c r="R29" s="188">
        <f ca="1">IF(M29="","0",(N29-M29+1)-COUNTIFS(INDIRECT(getCalendarRange(O29)),"&gt;=" &amp; M29,INDIRECT(getCalendarRange(O29)),"&lt;=" &amp; N29))</f>
        <v>4</v>
      </c>
      <c r="S29" s="188">
        <f ca="1">IF(M29&gt;TODAY(),0,IF(N29&lt;TODAY(),R29,(TODAY()-M29+1)-COUNTIFS(INDIRECT(getCalendarRange(O29)),"&gt;=" &amp; M29,INDIRECT(getCalendarRange(O29)),"&lt;=" &amp; TODAY())))</f>
        <v>0</v>
      </c>
      <c r="T29" s="159"/>
      <c r="U29" s="159"/>
      <c r="V29" s="189"/>
      <c r="W29" s="190" t="str">
        <f ca="1">IF(U29="","0",IF(T29="","0",(U29-T29+1)-COUNTIFS(INDIRECT(getCalendarRange(O29)),"&gt;=" &amp; T29,INDIRECT(getCalendarRange(O29)),"&lt;=" &amp; U29)))</f>
        <v>0</v>
      </c>
      <c r="X29" s="191">
        <v>1.5</v>
      </c>
      <c r="Y29" s="186"/>
      <c r="Z29" s="192"/>
      <c r="AA29" s="193">
        <v>0</v>
      </c>
      <c r="AB29" s="194">
        <v>0.2</v>
      </c>
      <c r="AC29" s="221"/>
      <c r="AD29" s="220"/>
      <c r="AE29" s="220"/>
      <c r="AF29" s="220"/>
      <c r="AG29" s="220"/>
      <c r="AH29" s="220"/>
      <c r="AI29" s="220"/>
      <c r="AJ29" s="220"/>
      <c r="AK29" s="220"/>
      <c r="AL29" s="220"/>
      <c r="AM29" s="220"/>
      <c r="AN29" s="220"/>
      <c r="AO29" s="220"/>
      <c r="AP29" s="220"/>
      <c r="AQ29" s="220"/>
      <c r="AR29" s="220"/>
      <c r="AS29" s="220"/>
      <c r="AT29" s="220"/>
      <c r="AU29" s="220"/>
      <c r="AV29" s="220"/>
      <c r="AW29" s="220"/>
      <c r="AX29" s="220"/>
      <c r="AY29" s="220"/>
      <c r="AZ29" s="220"/>
      <c r="BA29" s="220"/>
      <c r="BB29" s="220"/>
      <c r="BC29" s="220"/>
      <c r="BD29" s="220"/>
      <c r="BE29" s="220"/>
      <c r="BF29" s="220"/>
      <c r="BG29" s="220"/>
      <c r="BH29" s="220"/>
      <c r="BI29" s="220"/>
      <c r="BJ29" s="220"/>
      <c r="BK29" s="220"/>
      <c r="BL29" s="220"/>
      <c r="BM29" s="220"/>
      <c r="BN29" s="220"/>
      <c r="BO29" s="220"/>
      <c r="BP29" s="220"/>
      <c r="BQ29" s="220"/>
      <c r="BR29" s="220"/>
      <c r="BS29" s="220"/>
      <c r="BT29" s="220"/>
      <c r="BU29" s="220"/>
      <c r="BV29" s="220"/>
      <c r="BW29" s="220"/>
      <c r="BX29" s="220"/>
      <c r="BY29" s="220"/>
      <c r="BZ29" s="220"/>
      <c r="CA29" s="220"/>
      <c r="CB29" s="220"/>
      <c r="CC29" s="220"/>
      <c r="CD29" s="220"/>
      <c r="CE29" s="220"/>
      <c r="CF29" s="220"/>
      <c r="CG29" s="220"/>
      <c r="CH29" s="220"/>
      <c r="CI29" s="220"/>
      <c r="CJ29" s="220"/>
      <c r="CK29" s="220"/>
      <c r="CL29" s="220"/>
      <c r="CM29" s="220"/>
      <c r="CN29" s="220"/>
      <c r="CO29" s="220"/>
      <c r="CP29" s="220"/>
      <c r="CQ29" s="220"/>
      <c r="CR29" s="220"/>
      <c r="CS29" s="220"/>
      <c r="CT29" s="220"/>
      <c r="CU29" s="220"/>
      <c r="CV29" s="220"/>
      <c r="CW29" s="220"/>
      <c r="CX29" s="220"/>
      <c r="CY29" s="220"/>
      <c r="CZ29" s="220"/>
      <c r="DA29" s="220"/>
      <c r="DB29" s="220"/>
      <c r="DC29" s="220"/>
      <c r="DD29" s="220"/>
      <c r="DE29" s="220"/>
      <c r="DF29" s="220"/>
      <c r="DG29" s="220"/>
      <c r="DH29" s="220"/>
      <c r="DI29" s="220"/>
      <c r="DJ29" s="220"/>
      <c r="DK29" s="220"/>
      <c r="DL29" s="220"/>
      <c r="DM29" s="220"/>
      <c r="DN29" s="220"/>
      <c r="DO29" s="220"/>
      <c r="DP29" s="220"/>
      <c r="DQ29" s="220"/>
      <c r="DR29" s="220"/>
      <c r="DS29" s="220"/>
      <c r="DT29" s="220"/>
      <c r="DU29" s="220"/>
      <c r="DV29" s="220"/>
      <c r="DW29" s="220"/>
      <c r="DX29" s="220"/>
      <c r="DY29" s="220"/>
      <c r="DZ29" s="220"/>
      <c r="EA29" s="220"/>
      <c r="EB29" s="220"/>
      <c r="EC29" s="220"/>
      <c r="ED29" s="220"/>
      <c r="EE29" s="220"/>
      <c r="EF29" s="220"/>
      <c r="EG29" s="220"/>
      <c r="EH29" s="220"/>
      <c r="EI29" s="220"/>
      <c r="EJ29" s="220"/>
      <c r="EK29" s="220"/>
      <c r="EL29" s="220"/>
      <c r="EM29" s="220"/>
      <c r="EN29" s="220"/>
      <c r="EO29" s="220"/>
      <c r="EP29" s="220"/>
      <c r="EQ29" s="220"/>
      <c r="ER29" s="220"/>
      <c r="ES29" s="220"/>
      <c r="ET29" s="220"/>
      <c r="EU29" s="220"/>
      <c r="EV29" s="220"/>
      <c r="EW29" s="220"/>
      <c r="EX29" s="220"/>
      <c r="EY29" s="220"/>
      <c r="EZ29" s="220"/>
      <c r="FA29" s="220"/>
      <c r="FB29" s="220"/>
      <c r="FC29" s="220"/>
      <c r="FD29" s="220"/>
      <c r="FE29" s="220"/>
      <c r="FF29" s="220"/>
      <c r="FG29" s="220"/>
      <c r="FH29" s="220"/>
      <c r="FI29" s="220"/>
      <c r="FJ29" s="220"/>
      <c r="FK29" s="220"/>
      <c r="FL29" s="220"/>
      <c r="FM29" s="220"/>
      <c r="FN29" s="220" t="str">
        <f>I29 &amp; " " &amp; IF(M29="","",TEXT(M29,"M/D-")) &amp; IF(N29="","",TEXT(N29,"M/D")) &amp; " "</f>
        <v xml:space="preserve">세탁소어플 12/5-12/10 </v>
      </c>
      <c r="FO29" s="212"/>
      <c r="FP29" s="212" t="str">
        <f>TEXT(AB29,"#0.00%") &amp; " "</f>
        <v xml:space="preserve">20.00% </v>
      </c>
      <c r="FQ29" s="220"/>
      <c r="FR29" s="220"/>
      <c r="FS29" s="220"/>
      <c r="FT29" s="220"/>
      <c r="FU29" s="220"/>
      <c r="FV29" s="220"/>
      <c r="FW29" s="220"/>
      <c r="FX29" s="220"/>
      <c r="FY29" s="220"/>
      <c r="FZ29" s="220"/>
      <c r="GA29" s="220"/>
      <c r="GB29" s="220"/>
      <c r="GC29" s="220"/>
      <c r="GD29" s="220"/>
      <c r="GE29" s="220"/>
      <c r="GF29" s="220"/>
      <c r="GG29" s="220"/>
      <c r="GH29" s="220"/>
      <c r="GI29" s="220"/>
      <c r="GJ29" s="220"/>
      <c r="GK29" s="220"/>
      <c r="GL29" s="220"/>
      <c r="GM29" s="220"/>
      <c r="GN29" s="220"/>
    </row>
    <row r="30" spans="1:196">
      <c r="A30" s="184"/>
      <c r="B30" s="184" t="s">
        <v>993</v>
      </c>
      <c r="C30" s="184">
        <v>3</v>
      </c>
      <c r="D30" s="195" t="s">
        <v>1004</v>
      </c>
      <c r="E30" s="185"/>
      <c r="F30" s="185"/>
      <c r="G30" s="185" t="s">
        <v>955</v>
      </c>
      <c r="H30" s="185"/>
      <c r="I30" s="185"/>
      <c r="J30" s="185"/>
      <c r="K30" s="185"/>
      <c r="L30" s="185"/>
      <c r="M30" s="159">
        <v>43067</v>
      </c>
      <c r="N30" s="159">
        <v>43079</v>
      </c>
      <c r="O30" s="186"/>
      <c r="P30" s="187">
        <v>9</v>
      </c>
      <c r="Q30" s="187">
        <v>0</v>
      </c>
      <c r="R30" s="188">
        <f ca="1">IF(M30="","0",(N30-M30+1)-COUNTIFS(INDIRECT(getCalendarRange(O30)),"&gt;=" &amp; M30,INDIRECT(getCalendarRange(O30)),"&lt;=" &amp; N30))</f>
        <v>9</v>
      </c>
      <c r="S30" s="188">
        <f ca="1">IF(M30&gt;TODAY(),0,IF(N30&lt;TODAY(),R30,(TODAY()-M30+1)-COUNTIFS(INDIRECT(getCalendarRange(O30)),"&gt;=" &amp; M30,INDIRECT(getCalendarRange(O30)),"&lt;=" &amp; TODAY())))</f>
        <v>0</v>
      </c>
      <c r="T30" s="159"/>
      <c r="U30" s="159"/>
      <c r="V30" s="189">
        <v>0</v>
      </c>
      <c r="W30" s="190" t="str">
        <f ca="1">IF(U30="","0",IF(T30="","0",(U30-T30+1)-COUNTIFS(INDIRECT(getCalendarRange(O30)),"&gt;=" &amp; T30,INDIRECT(getCalendarRange(O30)),"&lt;=" &amp; U30)))</f>
        <v>0</v>
      </c>
      <c r="X30" s="191"/>
      <c r="Y30" s="186"/>
      <c r="Z30" s="192"/>
      <c r="AA30" s="193">
        <v>0</v>
      </c>
      <c r="AB30" s="194">
        <v>0</v>
      </c>
      <c r="AC30" s="221"/>
      <c r="AD30" s="220"/>
      <c r="AE30" s="220"/>
      <c r="AF30" s="220"/>
      <c r="AG30" s="220"/>
      <c r="AH30" s="220"/>
      <c r="AI30" s="220"/>
      <c r="AJ30" s="220"/>
      <c r="AK30" s="220"/>
      <c r="AL30" s="220"/>
      <c r="AM30" s="220"/>
      <c r="AN30" s="220"/>
      <c r="AO30" s="220"/>
      <c r="AP30" s="220"/>
      <c r="AQ30" s="220"/>
      <c r="AR30" s="220"/>
      <c r="AS30" s="220"/>
      <c r="AT30" s="220"/>
      <c r="AU30" s="220"/>
      <c r="AV30" s="220"/>
      <c r="AW30" s="220"/>
      <c r="AX30" s="220"/>
      <c r="AY30" s="220"/>
      <c r="AZ30" s="220"/>
      <c r="BA30" s="220"/>
      <c r="BB30" s="220"/>
      <c r="BC30" s="220"/>
      <c r="BD30" s="220"/>
      <c r="BE30" s="220"/>
      <c r="BF30" s="220"/>
      <c r="BG30" s="220"/>
      <c r="BH30" s="220"/>
      <c r="BI30" s="220"/>
      <c r="BJ30" s="220"/>
      <c r="BK30" s="220"/>
      <c r="BL30" s="220"/>
      <c r="BM30" s="220"/>
      <c r="BN30" s="220"/>
      <c r="BO30" s="220"/>
      <c r="BP30" s="220"/>
      <c r="BQ30" s="220"/>
      <c r="BR30" s="220"/>
      <c r="BS30" s="220"/>
      <c r="BT30" s="220"/>
      <c r="BU30" s="220"/>
      <c r="BV30" s="220"/>
      <c r="BW30" s="220"/>
      <c r="BX30" s="220"/>
      <c r="BY30" s="220"/>
      <c r="BZ30" s="220"/>
      <c r="CA30" s="220"/>
      <c r="CB30" s="220"/>
      <c r="CC30" s="220"/>
      <c r="CD30" s="220"/>
      <c r="CE30" s="220"/>
      <c r="CF30" s="220"/>
      <c r="CG30" s="220"/>
      <c r="CH30" s="220"/>
      <c r="CI30" s="220"/>
      <c r="CJ30" s="220"/>
      <c r="CK30" s="220"/>
      <c r="CL30" s="220"/>
      <c r="CM30" s="220"/>
      <c r="CN30" s="220"/>
      <c r="CO30" s="220"/>
      <c r="CP30" s="220"/>
      <c r="CQ30" s="220"/>
      <c r="CR30" s="220"/>
      <c r="CS30" s="220"/>
      <c r="CT30" s="220"/>
      <c r="CU30" s="220"/>
      <c r="CV30" s="220"/>
      <c r="CW30" s="220"/>
      <c r="CX30" s="220"/>
      <c r="CY30" s="220"/>
      <c r="CZ30" s="220"/>
      <c r="DA30" s="220"/>
      <c r="DB30" s="220"/>
      <c r="DC30" s="220"/>
      <c r="DD30" s="220"/>
      <c r="DE30" s="220"/>
      <c r="DF30" s="220"/>
      <c r="DG30" s="220"/>
      <c r="DH30" s="220"/>
      <c r="DI30" s="220"/>
      <c r="DJ30" s="220"/>
      <c r="DK30" s="220"/>
      <c r="DL30" s="220"/>
      <c r="DM30" s="220"/>
      <c r="DN30" s="220"/>
      <c r="DO30" s="220"/>
      <c r="DP30" s="220"/>
      <c r="DQ30" s="220"/>
      <c r="DR30" s="220"/>
      <c r="DS30" s="220"/>
      <c r="DT30" s="220"/>
      <c r="DU30" s="220"/>
      <c r="DV30" s="220"/>
      <c r="DW30" s="220"/>
      <c r="DX30" s="220"/>
      <c r="DY30" s="220"/>
      <c r="DZ30" s="220"/>
      <c r="EA30" s="220"/>
      <c r="EB30" s="220"/>
      <c r="EC30" s="220"/>
      <c r="ED30" s="220"/>
      <c r="EE30" s="220"/>
      <c r="EF30" s="220"/>
      <c r="EG30" s="220"/>
      <c r="EH30" s="220"/>
      <c r="EI30" s="220"/>
      <c r="EJ30" s="220"/>
      <c r="EK30" s="220"/>
      <c r="EL30" s="220"/>
      <c r="EM30" s="220"/>
      <c r="EN30" s="220"/>
      <c r="EO30" s="220"/>
      <c r="EP30" s="220"/>
      <c r="EQ30" s="220"/>
      <c r="ER30" s="220"/>
      <c r="ES30" s="220"/>
      <c r="ET30" s="220"/>
      <c r="EU30" s="220"/>
      <c r="EV30" s="220"/>
      <c r="EW30" s="220"/>
      <c r="EX30" s="220"/>
      <c r="EY30" s="220"/>
      <c r="EZ30" s="220"/>
      <c r="FA30" s="220"/>
      <c r="FB30" s="220"/>
      <c r="FC30" s="220"/>
      <c r="FD30" s="220"/>
      <c r="FE30" s="220"/>
      <c r="FF30" s="220"/>
      <c r="FG30" s="220" t="str">
        <f>G30 &amp; " " &amp; IF(M30="","",TEXT(M30,"M/D-")) &amp; IF(N30="","",TEXT(N30,"M/D")) &amp; " "</f>
        <v xml:space="preserve">테스트실시 11/28-12/10 </v>
      </c>
      <c r="FH30" s="212" t="str">
        <f>TEXT(AB30,"#0.00%") &amp; " "</f>
        <v xml:space="preserve">0.00% </v>
      </c>
      <c r="FI30" s="220"/>
      <c r="FJ30" s="220"/>
      <c r="FK30" s="220"/>
      <c r="FL30" s="220"/>
      <c r="FM30" s="220"/>
      <c r="FN30" s="220"/>
      <c r="FO30" s="220"/>
      <c r="FP30" s="220"/>
      <c r="FQ30" s="220"/>
      <c r="FR30" s="220"/>
      <c r="FS30" s="220"/>
      <c r="FT30" s="220"/>
      <c r="FU30" s="220"/>
      <c r="FV30" s="220"/>
      <c r="FW30" s="220"/>
      <c r="FX30" s="220"/>
      <c r="FY30" s="220"/>
      <c r="FZ30" s="220"/>
      <c r="GA30" s="220"/>
      <c r="GB30" s="220"/>
      <c r="GC30" s="220"/>
      <c r="GD30" s="220"/>
      <c r="GE30" s="220"/>
      <c r="GF30" s="220"/>
      <c r="GG30" s="220"/>
      <c r="GH30" s="220"/>
      <c r="GI30" s="220"/>
      <c r="GJ30" s="220"/>
      <c r="GK30" s="220"/>
      <c r="GL30" s="220"/>
      <c r="GM30" s="220"/>
      <c r="GN30" s="220"/>
    </row>
    <row r="31" spans="1:196">
      <c r="A31" s="184"/>
      <c r="B31" s="184"/>
      <c r="C31" s="184">
        <v>4</v>
      </c>
      <c r="D31" s="195" t="s">
        <v>988</v>
      </c>
      <c r="E31" s="185"/>
      <c r="F31" s="185"/>
      <c r="G31" s="185"/>
      <c r="H31" s="185" t="s">
        <v>956</v>
      </c>
      <c r="I31" s="185"/>
      <c r="J31" s="185"/>
      <c r="K31" s="185"/>
      <c r="L31" s="185"/>
      <c r="M31" s="159">
        <v>43067</v>
      </c>
      <c r="N31" s="159">
        <v>43079</v>
      </c>
      <c r="O31" s="186"/>
      <c r="P31" s="187">
        <v>9</v>
      </c>
      <c r="Q31" s="187">
        <v>0</v>
      </c>
      <c r="R31" s="188">
        <f ca="1">IF(M31="","0",(N31-M31+1)-COUNTIFS(INDIRECT(getCalendarRange(O31)),"&gt;=" &amp; M31,INDIRECT(getCalendarRange(O31)),"&lt;=" &amp; N31))</f>
        <v>9</v>
      </c>
      <c r="S31" s="188">
        <f ca="1">IF(M31&gt;TODAY(),0,IF(N31&lt;TODAY(),R31,(TODAY()-M31+1)-COUNTIFS(INDIRECT(getCalendarRange(O31)),"&gt;=" &amp; M31,INDIRECT(getCalendarRange(O31)),"&lt;=" &amp; TODAY())))</f>
        <v>0</v>
      </c>
      <c r="T31" s="159"/>
      <c r="U31" s="159"/>
      <c r="V31" s="189"/>
      <c r="W31" s="190" t="str">
        <f ca="1">IF(U31="","0",IF(T31="","0",(U31-T31+1)-COUNTIFS(INDIRECT(getCalendarRange(O31)),"&gt;=" &amp; T31,INDIRECT(getCalendarRange(O31)),"&lt;=" &amp; U31)))</f>
        <v>0</v>
      </c>
      <c r="X31" s="191">
        <v>1</v>
      </c>
      <c r="Y31" s="186"/>
      <c r="Z31" s="225" t="s">
        <v>1067</v>
      </c>
      <c r="AA31" s="193">
        <v>0</v>
      </c>
      <c r="AB31" s="194">
        <v>0</v>
      </c>
      <c r="AC31" s="221"/>
      <c r="AD31" s="220"/>
      <c r="AE31" s="220"/>
      <c r="AF31" s="220"/>
      <c r="AG31" s="220"/>
      <c r="AH31" s="220"/>
      <c r="AI31" s="220"/>
      <c r="AJ31" s="220"/>
      <c r="AK31" s="220"/>
      <c r="AL31" s="220"/>
      <c r="AM31" s="220"/>
      <c r="AN31" s="220"/>
      <c r="AO31" s="220"/>
      <c r="AP31" s="220"/>
      <c r="AQ31" s="220"/>
      <c r="AR31" s="220"/>
      <c r="AS31" s="220"/>
      <c r="AT31" s="220"/>
      <c r="AU31" s="220"/>
      <c r="AV31" s="220"/>
      <c r="AW31" s="220"/>
      <c r="AX31" s="220"/>
      <c r="AY31" s="220"/>
      <c r="AZ31" s="220"/>
      <c r="BA31" s="220"/>
      <c r="BB31" s="220"/>
      <c r="BC31" s="220"/>
      <c r="BD31" s="220"/>
      <c r="BE31" s="220"/>
      <c r="BF31" s="220"/>
      <c r="BG31" s="220"/>
      <c r="BH31" s="220"/>
      <c r="BI31" s="220"/>
      <c r="BJ31" s="220"/>
      <c r="BK31" s="220"/>
      <c r="BL31" s="220"/>
      <c r="BM31" s="220"/>
      <c r="BN31" s="220"/>
      <c r="BO31" s="220"/>
      <c r="BP31" s="220"/>
      <c r="BQ31" s="220"/>
      <c r="BR31" s="220"/>
      <c r="BS31" s="220"/>
      <c r="BT31" s="220"/>
      <c r="BU31" s="220"/>
      <c r="BV31" s="220"/>
      <c r="BW31" s="220"/>
      <c r="BX31" s="220"/>
      <c r="BY31" s="220"/>
      <c r="BZ31" s="220"/>
      <c r="CA31" s="220"/>
      <c r="CB31" s="220"/>
      <c r="CC31" s="220"/>
      <c r="CD31" s="220"/>
      <c r="CE31" s="220"/>
      <c r="CF31" s="220"/>
      <c r="CG31" s="220"/>
      <c r="CH31" s="220"/>
      <c r="CI31" s="220"/>
      <c r="CJ31" s="220"/>
      <c r="CK31" s="220"/>
      <c r="CL31" s="220"/>
      <c r="CM31" s="220"/>
      <c r="CN31" s="220"/>
      <c r="CO31" s="220"/>
      <c r="CP31" s="220"/>
      <c r="CQ31" s="220"/>
      <c r="CR31" s="220"/>
      <c r="CS31" s="220"/>
      <c r="CT31" s="220"/>
      <c r="CU31" s="220"/>
      <c r="CV31" s="220"/>
      <c r="CW31" s="220"/>
      <c r="CX31" s="220"/>
      <c r="CY31" s="220"/>
      <c r="CZ31" s="220"/>
      <c r="DA31" s="220"/>
      <c r="DB31" s="220"/>
      <c r="DC31" s="220"/>
      <c r="DD31" s="220"/>
      <c r="DE31" s="220"/>
      <c r="DF31" s="220"/>
      <c r="DG31" s="220"/>
      <c r="DH31" s="220"/>
      <c r="DI31" s="220"/>
      <c r="DJ31" s="220"/>
      <c r="DK31" s="220"/>
      <c r="DL31" s="220"/>
      <c r="DM31" s="220"/>
      <c r="DN31" s="220"/>
      <c r="DO31" s="220"/>
      <c r="DP31" s="220"/>
      <c r="DQ31" s="220"/>
      <c r="DR31" s="220"/>
      <c r="DS31" s="220"/>
      <c r="DT31" s="220"/>
      <c r="DU31" s="220"/>
      <c r="DV31" s="220"/>
      <c r="DW31" s="220"/>
      <c r="DX31" s="220"/>
      <c r="DY31" s="220"/>
      <c r="DZ31" s="220"/>
      <c r="EA31" s="220"/>
      <c r="EB31" s="220"/>
      <c r="EC31" s="220"/>
      <c r="ED31" s="220"/>
      <c r="EE31" s="220"/>
      <c r="EF31" s="220"/>
      <c r="EG31" s="220"/>
      <c r="EH31" s="220"/>
      <c r="EI31" s="220"/>
      <c r="EJ31" s="220"/>
      <c r="EK31" s="220"/>
      <c r="EL31" s="220"/>
      <c r="EM31" s="220"/>
      <c r="EN31" s="220"/>
      <c r="EO31" s="220"/>
      <c r="EP31" s="220"/>
      <c r="EQ31" s="220"/>
      <c r="ER31" s="220"/>
      <c r="ES31" s="220"/>
      <c r="ET31" s="220"/>
      <c r="EU31" s="220"/>
      <c r="EV31" s="220"/>
      <c r="EW31" s="220"/>
      <c r="EX31" s="220"/>
      <c r="EY31" s="220"/>
      <c r="EZ31" s="220"/>
      <c r="FA31" s="220"/>
      <c r="FB31" s="220"/>
      <c r="FC31" s="220"/>
      <c r="FD31" s="220"/>
      <c r="FE31" s="220"/>
      <c r="FF31" s="220"/>
      <c r="FG31" s="220" t="str">
        <f>H31 &amp; " " &amp; IF(M31="","",TEXT(M31,"M/D-")) &amp; IF(N31="","",TEXT(N31,"M/D")) &amp; " "</f>
        <v xml:space="preserve">통합테스트실시 11/28-12/10 </v>
      </c>
      <c r="FH31" s="212" t="str">
        <f>TEXT(AB31,"#0.00%") &amp; " "</f>
        <v xml:space="preserve">0.00% </v>
      </c>
      <c r="FI31" s="220"/>
      <c r="FJ31" s="220"/>
      <c r="FK31" s="220"/>
      <c r="FL31" s="220"/>
      <c r="FM31" s="220"/>
      <c r="FN31" s="220"/>
      <c r="FO31" s="220"/>
      <c r="FP31" s="220"/>
      <c r="FQ31" s="220"/>
      <c r="FR31" s="220"/>
      <c r="FS31" s="220"/>
      <c r="FT31" s="220"/>
      <c r="FU31" s="220"/>
      <c r="FV31" s="220"/>
      <c r="FW31" s="220"/>
      <c r="FX31" s="220"/>
      <c r="FY31" s="220"/>
      <c r="FZ31" s="220"/>
      <c r="GA31" s="220"/>
      <c r="GB31" s="220"/>
      <c r="GC31" s="220"/>
      <c r="GD31" s="220"/>
      <c r="GE31" s="220"/>
      <c r="GF31" s="220"/>
      <c r="GG31" s="220"/>
      <c r="GH31" s="220"/>
      <c r="GI31" s="220"/>
      <c r="GJ31" s="220"/>
      <c r="GK31" s="220"/>
      <c r="GL31" s="220"/>
      <c r="GM31" s="220"/>
      <c r="GN31" s="220"/>
    </row>
    <row r="32" spans="1:196">
      <c r="A32" s="184"/>
      <c r="B32" s="184"/>
      <c r="C32" s="184">
        <v>1</v>
      </c>
      <c r="D32" s="195" t="s">
        <v>1065</v>
      </c>
      <c r="E32" s="223" t="s">
        <v>1059</v>
      </c>
      <c r="F32" s="224"/>
      <c r="G32" s="223"/>
      <c r="H32" s="185"/>
      <c r="I32" s="185"/>
      <c r="J32" s="185"/>
      <c r="K32" s="185"/>
      <c r="L32" s="185"/>
      <c r="M32" s="159">
        <v>43095</v>
      </c>
      <c r="N32" s="159">
        <v>43095</v>
      </c>
      <c r="O32" s="186"/>
      <c r="P32" s="187">
        <v>4</v>
      </c>
      <c r="Q32" s="187">
        <v>0</v>
      </c>
      <c r="R32" s="188">
        <f ca="1">IF(M32="","0",(N32-M32+1)-COUNTIFS(INDIRECT(getCalendarRange(O32)),"&gt;=" &amp; M32,INDIRECT(getCalendarRange(O32)),"&lt;=" &amp; N32))</f>
        <v>1</v>
      </c>
      <c r="S32" s="188">
        <f ca="1">IF(M32&gt;TODAY(),0,IF(N32&lt;TODAY(),R32,(TODAY()-M32+1)-COUNTIFS(INDIRECT(getCalendarRange(O32)),"&gt;=" &amp; M32,INDIRECT(getCalendarRange(O32)),"&lt;=" &amp; TODAY())))</f>
        <v>0</v>
      </c>
      <c r="T32" s="159"/>
      <c r="U32" s="159"/>
      <c r="V32" s="189"/>
      <c r="W32" s="190" t="str">
        <f ca="1">IF(U32="","0",IF(T32="","0",(U32-T32+1)-COUNTIFS(INDIRECT(getCalendarRange(O32)),"&gt;=" &amp; T32,INDIRECT(getCalendarRange(O32)),"&lt;=" &amp; U32)))</f>
        <v>0</v>
      </c>
      <c r="X32" s="191">
        <v>4</v>
      </c>
      <c r="Y32" s="186"/>
      <c r="Z32" s="192"/>
      <c r="AA32" s="193">
        <v>0</v>
      </c>
      <c r="AB32" s="194">
        <v>0</v>
      </c>
      <c r="AC32" s="221"/>
      <c r="AD32" s="220"/>
      <c r="AE32" s="220"/>
      <c r="AF32" s="220"/>
      <c r="AG32" s="220"/>
      <c r="AH32" s="220"/>
      <c r="AI32" s="220"/>
      <c r="AJ32" s="220"/>
      <c r="AK32" s="220"/>
      <c r="AL32" s="220"/>
      <c r="AM32" s="220"/>
      <c r="AN32" s="220"/>
      <c r="AO32" s="220"/>
      <c r="AP32" s="220"/>
      <c r="AQ32" s="220"/>
      <c r="AR32" s="220"/>
      <c r="AS32" s="220"/>
      <c r="AT32" s="220"/>
      <c r="AU32" s="220"/>
      <c r="AV32" s="220"/>
      <c r="AW32" s="220"/>
      <c r="AX32" s="220"/>
      <c r="AY32" s="220"/>
      <c r="AZ32" s="220"/>
      <c r="BA32" s="220"/>
      <c r="BB32" s="220"/>
      <c r="BC32" s="220"/>
      <c r="BD32" s="220"/>
      <c r="BE32" s="220"/>
      <c r="BF32" s="220"/>
      <c r="BG32" s="220"/>
      <c r="BH32" s="220"/>
      <c r="BI32" s="220"/>
      <c r="BJ32" s="220"/>
      <c r="BK32" s="220"/>
      <c r="BL32" s="220"/>
      <c r="BM32" s="220"/>
      <c r="BN32" s="220"/>
      <c r="BO32" s="220"/>
      <c r="BP32" s="220"/>
      <c r="BQ32" s="220"/>
      <c r="BR32" s="220"/>
      <c r="BS32" s="220"/>
      <c r="BT32" s="220"/>
      <c r="BU32" s="220"/>
      <c r="BV32" s="220"/>
      <c r="BW32" s="220"/>
      <c r="BX32" s="220"/>
      <c r="BY32" s="220"/>
      <c r="BZ32" s="220"/>
      <c r="CA32" s="220"/>
      <c r="CB32" s="220"/>
      <c r="CC32" s="220"/>
      <c r="CD32" s="220"/>
      <c r="CE32" s="220"/>
      <c r="CF32" s="220"/>
      <c r="CG32" s="220"/>
      <c r="CH32" s="220"/>
      <c r="CI32" s="220"/>
      <c r="CJ32" s="220"/>
      <c r="CK32" s="220"/>
      <c r="CL32" s="220"/>
      <c r="CM32" s="220"/>
      <c r="CN32" s="220"/>
      <c r="CO32" s="220"/>
      <c r="CP32" s="220"/>
      <c r="CQ32" s="220"/>
      <c r="CR32" s="220"/>
      <c r="CS32" s="220"/>
      <c r="CT32" s="220"/>
      <c r="CU32" s="220"/>
      <c r="CV32" s="220"/>
      <c r="CW32" s="220"/>
      <c r="CX32" s="220"/>
      <c r="CY32" s="220"/>
      <c r="CZ32" s="220"/>
      <c r="DA32" s="220"/>
      <c r="DB32" s="220"/>
      <c r="DC32" s="220"/>
      <c r="DD32" s="220"/>
      <c r="DE32" s="220"/>
      <c r="DF32" s="220"/>
      <c r="DG32" s="220"/>
      <c r="DH32" s="220"/>
      <c r="DI32" s="220"/>
      <c r="DJ32" s="220"/>
      <c r="DK32" s="220"/>
      <c r="DL32" s="220"/>
      <c r="DM32" s="220"/>
      <c r="DN32" s="220"/>
      <c r="DO32" s="220"/>
      <c r="DP32" s="220"/>
      <c r="DQ32" s="220"/>
      <c r="DR32" s="220"/>
      <c r="DS32" s="220"/>
      <c r="DT32" s="220"/>
      <c r="DU32" s="220"/>
      <c r="DV32" s="220"/>
      <c r="DW32" s="220"/>
      <c r="DX32" s="220"/>
      <c r="DY32" s="220"/>
      <c r="DZ32" s="220"/>
      <c r="EA32" s="220"/>
      <c r="EB32" s="220"/>
      <c r="EC32" s="220"/>
      <c r="ED32" s="220"/>
      <c r="EE32" s="220"/>
      <c r="EF32" s="220"/>
      <c r="EG32" s="220"/>
      <c r="EH32" s="220"/>
      <c r="EI32" s="220"/>
      <c r="EJ32" s="220"/>
      <c r="EK32" s="220"/>
      <c r="EL32" s="220"/>
      <c r="EM32" s="220"/>
      <c r="EN32" s="220"/>
      <c r="EO32" s="220"/>
      <c r="EP32" s="220"/>
      <c r="EQ32" s="220"/>
      <c r="ER32" s="220"/>
      <c r="ES32" s="220"/>
      <c r="ET32" s="220"/>
      <c r="EU32" s="220"/>
      <c r="EV32" s="220"/>
      <c r="EW32" s="220"/>
      <c r="EX32" s="220"/>
      <c r="EY32" s="220"/>
      <c r="EZ32" s="220"/>
      <c r="FA32" s="220"/>
      <c r="FB32" s="220"/>
      <c r="FC32" s="220"/>
      <c r="FD32" s="220"/>
      <c r="FE32" s="220"/>
      <c r="FF32" s="220"/>
      <c r="FG32" s="220"/>
      <c r="FH32" s="220"/>
      <c r="FI32" s="220"/>
      <c r="FJ32" s="220"/>
      <c r="FK32" s="220"/>
      <c r="FL32" s="220"/>
      <c r="FM32" s="220"/>
      <c r="FN32" s="220"/>
      <c r="FO32" s="220"/>
      <c r="FP32" s="220"/>
      <c r="FQ32" s="220"/>
      <c r="FR32" s="220"/>
      <c r="FS32" s="220"/>
      <c r="FT32" s="220"/>
      <c r="FU32" s="220"/>
      <c r="FV32" s="220"/>
      <c r="FW32" s="220"/>
      <c r="FX32" s="220"/>
      <c r="FY32" s="220"/>
      <c r="FZ32" s="220"/>
      <c r="GA32" s="220"/>
      <c r="GB32" s="220"/>
      <c r="GC32" s="220"/>
      <c r="GD32" s="220"/>
      <c r="GE32" s="220"/>
      <c r="GF32" s="220"/>
      <c r="GG32" s="220"/>
      <c r="GH32" s="220"/>
      <c r="GI32" s="220" t="str">
        <f>E32 &amp; " " &amp; IF(M32="","",TEXT(M32,"M/D-")) &amp; IF(N32="","",TEXT(N32,"M/D")) &amp; " "</f>
        <v xml:space="preserve">발표 12/26-12/26 </v>
      </c>
      <c r="GJ32" s="212" t="str">
        <f>TEXT(AB32,"#0.00%") &amp; " "</f>
        <v xml:space="preserve">0.00% </v>
      </c>
      <c r="GK32" s="220"/>
      <c r="GL32" s="220"/>
      <c r="GM32" s="220"/>
      <c r="GN32" s="220"/>
    </row>
    <row r="33" spans="1:196">
      <c r="A33" s="197"/>
      <c r="B33" s="197"/>
      <c r="C33" s="197"/>
      <c r="D33" s="198"/>
      <c r="E33" s="199"/>
      <c r="F33" s="199"/>
      <c r="G33" s="199"/>
      <c r="H33" s="199"/>
      <c r="I33" s="199"/>
      <c r="J33" s="199"/>
      <c r="K33" s="199"/>
      <c r="L33" s="199"/>
      <c r="M33" s="200"/>
      <c r="N33" s="200"/>
      <c r="O33" s="201"/>
      <c r="P33" s="202"/>
      <c r="Q33" s="202"/>
      <c r="R33" s="203"/>
      <c r="S33" s="203"/>
      <c r="T33" s="200"/>
      <c r="U33" s="200"/>
      <c r="V33" s="204"/>
      <c r="W33" s="205"/>
      <c r="X33" s="206"/>
      <c r="Y33" s="201"/>
      <c r="Z33" s="207"/>
      <c r="AA33" s="208"/>
      <c r="AB33" s="209"/>
      <c r="AC33" s="211"/>
      <c r="AD33" s="211"/>
      <c r="AE33" s="211"/>
      <c r="AF33" s="211"/>
      <c r="AG33" s="211"/>
      <c r="AH33" s="211"/>
      <c r="AI33" s="211"/>
      <c r="AJ33" s="211"/>
      <c r="AK33" s="211"/>
      <c r="AL33" s="211"/>
      <c r="AM33" s="211"/>
      <c r="AN33" s="211"/>
      <c r="AO33" s="211"/>
      <c r="AP33" s="211"/>
      <c r="AQ33" s="211"/>
      <c r="AR33" s="211"/>
      <c r="AS33" s="211"/>
      <c r="AT33" s="211"/>
      <c r="AU33" s="211"/>
      <c r="AV33" s="211"/>
      <c r="AW33" s="211"/>
      <c r="AX33" s="211"/>
      <c r="AY33" s="211"/>
      <c r="AZ33" s="211"/>
      <c r="BA33" s="211"/>
      <c r="BB33" s="211"/>
      <c r="BC33" s="211"/>
      <c r="BD33" s="211"/>
      <c r="BE33" s="211"/>
      <c r="BF33" s="211"/>
      <c r="BG33" s="211"/>
      <c r="BH33" s="211"/>
      <c r="BI33" s="211"/>
      <c r="BJ33" s="211"/>
      <c r="BK33" s="211"/>
      <c r="BL33" s="211"/>
      <c r="BM33" s="211"/>
      <c r="BN33" s="211"/>
      <c r="BO33" s="211"/>
      <c r="BP33" s="211"/>
      <c r="BQ33" s="211"/>
      <c r="BR33" s="211"/>
      <c r="BS33" s="211"/>
      <c r="BT33" s="211"/>
      <c r="BU33" s="211"/>
      <c r="BV33" s="211"/>
      <c r="BW33" s="211"/>
      <c r="BX33" s="211"/>
      <c r="BY33" s="211"/>
      <c r="BZ33" s="211"/>
      <c r="CA33" s="211"/>
      <c r="CB33" s="211"/>
      <c r="CC33" s="211"/>
      <c r="CD33" s="211"/>
      <c r="CE33" s="211"/>
      <c r="CF33" s="211"/>
      <c r="CG33" s="211"/>
      <c r="CH33" s="211"/>
      <c r="CI33" s="211"/>
      <c r="CJ33" s="211"/>
      <c r="CK33" s="211"/>
      <c r="CL33" s="211"/>
      <c r="CM33" s="211"/>
      <c r="CN33" s="211"/>
      <c r="CO33" s="211"/>
      <c r="CP33" s="211"/>
      <c r="CQ33" s="211"/>
      <c r="CR33" s="211"/>
      <c r="CS33" s="211"/>
      <c r="CT33" s="211"/>
      <c r="CU33" s="211"/>
      <c r="CV33" s="211"/>
      <c r="CW33" s="211"/>
      <c r="CX33" s="211"/>
      <c r="CY33" s="211"/>
      <c r="CZ33" s="211"/>
      <c r="DA33" s="211"/>
      <c r="DB33" s="211"/>
      <c r="DC33" s="211"/>
      <c r="DD33" s="211"/>
      <c r="DE33" s="211"/>
      <c r="DF33" s="211"/>
      <c r="DG33" s="211"/>
      <c r="DH33" s="211"/>
      <c r="DI33" s="211"/>
      <c r="DJ33" s="211"/>
      <c r="DK33" s="211"/>
      <c r="DL33" s="211"/>
      <c r="DM33" s="211"/>
      <c r="DN33" s="211"/>
      <c r="DO33" s="211"/>
      <c r="DP33" s="211"/>
      <c r="DQ33" s="211"/>
      <c r="DR33" s="211"/>
      <c r="DS33" s="211"/>
      <c r="DT33" s="211"/>
      <c r="DU33" s="211"/>
      <c r="DV33" s="211"/>
      <c r="DW33" s="211"/>
      <c r="DX33" s="211"/>
      <c r="DY33" s="211"/>
      <c r="DZ33" s="211"/>
      <c r="EA33" s="211"/>
      <c r="EB33" s="211"/>
      <c r="EC33" s="211"/>
      <c r="ED33" s="211"/>
      <c r="EE33" s="211"/>
      <c r="EF33" s="211"/>
      <c r="EG33" s="211"/>
      <c r="EH33" s="211"/>
      <c r="EI33" s="211"/>
      <c r="EJ33" s="211"/>
      <c r="EK33" s="211"/>
      <c r="EL33" s="211"/>
      <c r="EM33" s="211"/>
      <c r="EN33" s="211"/>
      <c r="EO33" s="211"/>
      <c r="EP33" s="211"/>
      <c r="EQ33" s="211"/>
      <c r="ER33" s="211"/>
      <c r="ES33" s="211"/>
      <c r="ET33" s="211"/>
      <c r="EU33" s="211"/>
      <c r="EV33" s="211"/>
      <c r="EW33" s="211"/>
      <c r="EX33" s="211"/>
      <c r="EY33" s="211"/>
      <c r="EZ33" s="211"/>
      <c r="FA33" s="211"/>
      <c r="FB33" s="211"/>
      <c r="FC33" s="211"/>
      <c r="FD33" s="211"/>
      <c r="FE33" s="211"/>
      <c r="FF33" s="211"/>
      <c r="FG33" s="211"/>
      <c r="FH33" s="211"/>
      <c r="FI33" s="211"/>
      <c r="FJ33" s="211"/>
      <c r="FK33" s="211"/>
      <c r="FL33" s="211"/>
      <c r="FM33" s="211"/>
      <c r="FN33" s="211"/>
      <c r="FO33" s="211"/>
      <c r="FP33" s="211"/>
      <c r="FQ33" s="211"/>
      <c r="FR33" s="211"/>
      <c r="FS33" s="211"/>
      <c r="FT33" s="211"/>
      <c r="FU33" s="211"/>
      <c r="FV33" s="211"/>
      <c r="FW33" s="211"/>
      <c r="FX33" s="211"/>
      <c r="FY33" s="211"/>
      <c r="FZ33" s="211"/>
      <c r="GA33" s="211"/>
      <c r="GB33" s="211"/>
      <c r="GC33" s="211"/>
      <c r="GD33" s="211"/>
      <c r="GE33" s="211"/>
      <c r="GF33" s="211"/>
      <c r="GG33" s="211"/>
      <c r="GH33" s="211"/>
      <c r="GI33" s="211"/>
      <c r="GJ33" s="211"/>
      <c r="GK33" s="211"/>
      <c r="GL33" s="211"/>
      <c r="GM33" s="211"/>
      <c r="GN33" s="211"/>
    </row>
    <row r="34" spans="1:196">
      <c r="A34" s="184"/>
      <c r="B34" s="184"/>
      <c r="C34" s="184"/>
      <c r="D34" s="195"/>
      <c r="E34" s="185"/>
      <c r="F34" s="185"/>
      <c r="G34" s="185"/>
      <c r="H34" s="185"/>
      <c r="I34" s="185"/>
      <c r="J34" s="185"/>
      <c r="K34" s="185"/>
      <c r="L34" s="185"/>
      <c r="M34" s="159"/>
      <c r="N34" s="159"/>
      <c r="O34" s="186"/>
      <c r="P34" s="187"/>
      <c r="Q34" s="187"/>
      <c r="R34" s="188"/>
      <c r="S34" s="188"/>
      <c r="T34" s="159"/>
      <c r="U34" s="159"/>
      <c r="V34" s="189"/>
      <c r="W34" s="190"/>
      <c r="X34" s="191"/>
      <c r="Y34" s="186"/>
      <c r="Z34" s="192"/>
      <c r="AA34" s="193"/>
      <c r="AB34" s="194"/>
    </row>
    <row r="35" spans="1:196">
      <c r="A35" s="184"/>
      <c r="B35" s="184"/>
      <c r="C35" s="184"/>
      <c r="D35" s="195"/>
      <c r="E35" s="185"/>
      <c r="F35" s="185"/>
      <c r="G35" s="185"/>
      <c r="H35" s="185"/>
      <c r="I35" s="185"/>
      <c r="J35" s="185"/>
      <c r="K35" s="185"/>
      <c r="L35" s="185"/>
      <c r="M35" s="159"/>
      <c r="N35" s="159"/>
      <c r="O35" s="186"/>
      <c r="P35" s="187"/>
      <c r="Q35" s="187"/>
      <c r="R35" s="188"/>
      <c r="S35" s="188"/>
      <c r="T35" s="159"/>
      <c r="U35" s="159"/>
      <c r="V35" s="189"/>
      <c r="W35" s="190"/>
      <c r="X35" s="191"/>
      <c r="Y35" s="186"/>
      <c r="Z35" s="192"/>
      <c r="AA35" s="193"/>
      <c r="AB35" s="194"/>
    </row>
    <row r="36" spans="1:196">
      <c r="A36" s="184"/>
      <c r="B36" s="184"/>
      <c r="C36" s="184"/>
      <c r="D36" s="195"/>
      <c r="E36" s="185"/>
      <c r="F36" s="185"/>
      <c r="G36" s="185"/>
      <c r="H36" s="185"/>
      <c r="I36" s="185"/>
      <c r="J36" s="185"/>
      <c r="K36" s="185"/>
      <c r="L36" s="185"/>
      <c r="M36" s="159"/>
      <c r="N36" s="159"/>
      <c r="O36" s="186"/>
      <c r="P36" s="187"/>
      <c r="Q36" s="187"/>
      <c r="R36" s="188"/>
      <c r="S36" s="188"/>
      <c r="T36" s="159"/>
      <c r="U36" s="159"/>
      <c r="V36" s="189"/>
      <c r="W36" s="190"/>
      <c r="X36" s="191"/>
      <c r="Y36" s="186"/>
      <c r="Z36" s="192"/>
      <c r="AA36" s="193"/>
      <c r="AB36" s="194"/>
    </row>
    <row r="37" spans="1:196">
      <c r="A37" s="184"/>
      <c r="B37" s="184"/>
      <c r="C37" s="184"/>
      <c r="D37" s="195"/>
      <c r="E37" s="185"/>
      <c r="F37" s="185"/>
      <c r="G37" s="185"/>
      <c r="H37" s="185"/>
      <c r="I37" s="185"/>
      <c r="J37" s="185"/>
      <c r="K37" s="185"/>
      <c r="L37" s="185"/>
      <c r="M37" s="159"/>
      <c r="N37" s="159"/>
      <c r="O37" s="186"/>
      <c r="P37" s="187"/>
      <c r="Q37" s="187"/>
      <c r="R37" s="188"/>
      <c r="S37" s="188"/>
      <c r="T37" s="159"/>
      <c r="U37" s="159"/>
      <c r="V37" s="189"/>
      <c r="W37" s="190"/>
      <c r="X37" s="191"/>
      <c r="Y37" s="186"/>
      <c r="Z37" s="192"/>
      <c r="AA37" s="193"/>
      <c r="AB37" s="194"/>
    </row>
    <row r="38" spans="1:196">
      <c r="A38" s="184"/>
      <c r="B38" s="184"/>
      <c r="C38" s="184"/>
      <c r="D38" s="195"/>
      <c r="E38" s="185"/>
      <c r="F38" s="185"/>
      <c r="G38" s="185"/>
      <c r="H38" s="185"/>
      <c r="I38" s="185"/>
      <c r="J38" s="185"/>
      <c r="K38" s="185"/>
      <c r="L38" s="185"/>
      <c r="M38" s="159"/>
      <c r="N38" s="159"/>
      <c r="O38" s="186"/>
      <c r="P38" s="187"/>
      <c r="Q38" s="187"/>
      <c r="R38" s="188"/>
      <c r="S38" s="188"/>
      <c r="T38" s="159"/>
      <c r="U38" s="159"/>
      <c r="V38" s="189"/>
      <c r="W38" s="190"/>
      <c r="X38" s="191"/>
      <c r="Y38" s="186"/>
      <c r="Z38" s="192"/>
      <c r="AA38" s="193"/>
      <c r="AB38" s="194"/>
    </row>
    <row r="39" spans="1:196">
      <c r="A39" s="184"/>
      <c r="B39" s="184"/>
      <c r="C39" s="184"/>
      <c r="D39" s="195"/>
      <c r="E39" s="185"/>
      <c r="F39" s="185"/>
      <c r="G39" s="185"/>
      <c r="H39" s="185"/>
      <c r="I39" s="185"/>
      <c r="J39" s="185"/>
      <c r="K39" s="185"/>
      <c r="L39" s="185"/>
      <c r="M39" s="159"/>
      <c r="N39" s="159"/>
      <c r="O39" s="186"/>
      <c r="P39" s="187"/>
      <c r="Q39" s="187"/>
      <c r="R39" s="188"/>
      <c r="S39" s="188"/>
      <c r="T39" s="159"/>
      <c r="U39" s="159"/>
      <c r="V39" s="189"/>
      <c r="W39" s="190"/>
      <c r="X39" s="191"/>
      <c r="Y39" s="186"/>
      <c r="Z39" s="192"/>
      <c r="AA39" s="193"/>
      <c r="AB39" s="194"/>
    </row>
    <row r="40" spans="1:196">
      <c r="A40" s="184"/>
      <c r="B40" s="184"/>
      <c r="C40" s="184"/>
      <c r="D40" s="195"/>
      <c r="E40" s="185"/>
      <c r="F40" s="185"/>
      <c r="G40" s="185"/>
      <c r="H40" s="185"/>
      <c r="I40" s="185"/>
      <c r="J40" s="185"/>
      <c r="K40" s="185"/>
      <c r="L40" s="185"/>
      <c r="M40" s="159"/>
      <c r="N40" s="159"/>
      <c r="O40" s="186"/>
      <c r="P40" s="187"/>
      <c r="Q40" s="187"/>
      <c r="R40" s="188"/>
      <c r="S40" s="188"/>
      <c r="T40" s="159"/>
      <c r="U40" s="159"/>
      <c r="V40" s="189"/>
      <c r="W40" s="190"/>
      <c r="X40" s="191"/>
      <c r="Y40" s="186"/>
      <c r="Z40" s="192"/>
      <c r="AA40" s="193"/>
      <c r="AB40" s="194"/>
    </row>
    <row r="41" spans="1:196">
      <c r="A41" s="184"/>
      <c r="B41" s="184"/>
      <c r="C41" s="184"/>
      <c r="D41" s="195"/>
      <c r="E41" s="185"/>
      <c r="F41" s="185"/>
      <c r="G41" s="185"/>
      <c r="H41" s="185"/>
      <c r="I41" s="185"/>
      <c r="J41" s="185"/>
      <c r="K41" s="185"/>
      <c r="L41" s="185"/>
      <c r="M41" s="159"/>
      <c r="N41" s="159"/>
      <c r="O41" s="186"/>
      <c r="P41" s="187"/>
      <c r="Q41" s="187"/>
      <c r="R41" s="188"/>
      <c r="S41" s="188"/>
      <c r="T41" s="159"/>
      <c r="U41" s="159"/>
      <c r="V41" s="189"/>
      <c r="W41" s="190"/>
      <c r="X41" s="191"/>
      <c r="Y41" s="186"/>
      <c r="Z41" s="192"/>
      <c r="AA41" s="193"/>
      <c r="AB41" s="194"/>
    </row>
    <row r="42" spans="1:196">
      <c r="A42" s="184"/>
      <c r="B42" s="184"/>
      <c r="C42" s="184"/>
      <c r="D42" s="195"/>
      <c r="E42" s="185"/>
      <c r="F42" s="185"/>
      <c r="G42" s="185"/>
      <c r="H42" s="185"/>
      <c r="I42" s="185"/>
      <c r="J42" s="185"/>
      <c r="K42" s="185"/>
      <c r="L42" s="185"/>
      <c r="M42" s="159"/>
      <c r="N42" s="159"/>
      <c r="O42" s="186"/>
      <c r="P42" s="187"/>
      <c r="Q42" s="187"/>
      <c r="R42" s="188"/>
      <c r="S42" s="188"/>
      <c r="T42" s="159"/>
      <c r="U42" s="159"/>
      <c r="V42" s="189"/>
      <c r="W42" s="190"/>
      <c r="X42" s="191"/>
      <c r="Y42" s="186"/>
      <c r="Z42" s="192"/>
      <c r="AA42" s="193"/>
      <c r="AB42" s="194"/>
    </row>
    <row r="43" spans="1:196">
      <c r="A43" s="184"/>
      <c r="B43" s="184"/>
      <c r="C43" s="184"/>
      <c r="D43" s="195"/>
      <c r="E43" s="185"/>
      <c r="F43" s="185"/>
      <c r="G43" s="185"/>
      <c r="H43" s="185"/>
      <c r="I43" s="185"/>
      <c r="J43" s="185"/>
      <c r="K43" s="185"/>
      <c r="L43" s="185"/>
      <c r="M43" s="159"/>
      <c r="N43" s="159"/>
      <c r="O43" s="186"/>
      <c r="P43" s="187"/>
      <c r="Q43" s="187"/>
      <c r="R43" s="188"/>
      <c r="S43" s="188"/>
      <c r="T43" s="159"/>
      <c r="U43" s="159"/>
      <c r="V43" s="189"/>
      <c r="W43" s="190"/>
      <c r="X43" s="191"/>
      <c r="Y43" s="186"/>
      <c r="Z43" s="192"/>
      <c r="AA43" s="193"/>
      <c r="AB43" s="194"/>
    </row>
    <row r="44" spans="1:196">
      <c r="A44" s="184"/>
      <c r="B44" s="184"/>
      <c r="C44" s="184"/>
      <c r="D44" s="195"/>
      <c r="E44" s="185"/>
      <c r="F44" s="185"/>
      <c r="G44" s="185"/>
      <c r="H44" s="185"/>
      <c r="I44" s="185"/>
      <c r="J44" s="185"/>
      <c r="K44" s="185"/>
      <c r="L44" s="185"/>
      <c r="M44" s="159"/>
      <c r="N44" s="159"/>
      <c r="O44" s="186"/>
      <c r="P44" s="187"/>
      <c r="Q44" s="187"/>
      <c r="R44" s="188"/>
      <c r="S44" s="188"/>
      <c r="T44" s="159"/>
      <c r="U44" s="159"/>
      <c r="V44" s="189"/>
      <c r="W44" s="190"/>
      <c r="X44" s="191"/>
      <c r="Y44" s="186"/>
      <c r="Z44" s="192"/>
      <c r="AA44" s="193"/>
      <c r="AB44" s="194"/>
    </row>
    <row r="45" spans="1:196">
      <c r="A45" s="184"/>
      <c r="B45" s="184"/>
      <c r="C45" s="184"/>
      <c r="D45" s="195"/>
      <c r="E45" s="185"/>
      <c r="F45" s="185"/>
      <c r="G45" s="185"/>
      <c r="H45" s="185"/>
      <c r="I45" s="185"/>
      <c r="J45" s="185"/>
      <c r="K45" s="185"/>
      <c r="L45" s="185"/>
      <c r="M45" s="159"/>
      <c r="N45" s="159"/>
      <c r="O45" s="186"/>
      <c r="P45" s="187"/>
      <c r="Q45" s="187"/>
      <c r="R45" s="188"/>
      <c r="S45" s="188"/>
      <c r="T45" s="159"/>
      <c r="U45" s="159"/>
      <c r="V45" s="189"/>
      <c r="W45" s="190"/>
      <c r="X45" s="191"/>
      <c r="Y45" s="186"/>
      <c r="Z45" s="192"/>
      <c r="AA45" s="193"/>
      <c r="AB45" s="194"/>
    </row>
    <row r="46" spans="1:196">
      <c r="A46" s="184"/>
      <c r="B46" s="184"/>
      <c r="C46" s="184"/>
      <c r="D46" s="195"/>
      <c r="E46" s="185"/>
      <c r="F46" s="185"/>
      <c r="G46" s="185"/>
      <c r="H46" s="185"/>
      <c r="I46" s="185"/>
      <c r="J46" s="185"/>
      <c r="K46" s="185"/>
      <c r="L46" s="185"/>
      <c r="M46" s="159"/>
      <c r="N46" s="159"/>
      <c r="O46" s="186"/>
      <c r="P46" s="187"/>
      <c r="Q46" s="187"/>
      <c r="R46" s="188"/>
      <c r="S46" s="188"/>
      <c r="T46" s="159"/>
      <c r="U46" s="159"/>
      <c r="V46" s="189"/>
      <c r="W46" s="190"/>
      <c r="X46" s="191"/>
      <c r="Y46" s="186"/>
      <c r="Z46" s="192"/>
      <c r="AA46" s="193"/>
      <c r="AB46" s="194"/>
    </row>
    <row r="47" spans="1:196">
      <c r="A47" s="184"/>
      <c r="B47" s="184"/>
      <c r="C47" s="184"/>
      <c r="D47" s="195"/>
      <c r="E47" s="185"/>
      <c r="F47" s="185"/>
      <c r="G47" s="185"/>
      <c r="H47" s="185"/>
      <c r="I47" s="185"/>
      <c r="J47" s="185"/>
      <c r="K47" s="185"/>
      <c r="L47" s="185"/>
      <c r="M47" s="159"/>
      <c r="N47" s="159"/>
      <c r="O47" s="186"/>
      <c r="P47" s="187"/>
      <c r="Q47" s="187"/>
      <c r="R47" s="188"/>
      <c r="S47" s="188"/>
      <c r="T47" s="159"/>
      <c r="U47" s="159"/>
      <c r="V47" s="189"/>
      <c r="W47" s="190"/>
      <c r="X47" s="191"/>
      <c r="Y47" s="186"/>
      <c r="Z47" s="192"/>
      <c r="AA47" s="193"/>
      <c r="AB47" s="194"/>
    </row>
    <row r="48" spans="1:196">
      <c r="A48" s="184"/>
      <c r="B48" s="184"/>
      <c r="C48" s="184"/>
      <c r="D48" s="195"/>
      <c r="E48" s="185"/>
      <c r="F48" s="185"/>
      <c r="G48" s="185"/>
      <c r="H48" s="185"/>
      <c r="I48" s="185"/>
      <c r="J48" s="185"/>
      <c r="K48" s="185"/>
      <c r="L48" s="185"/>
      <c r="M48" s="159"/>
      <c r="N48" s="159"/>
      <c r="O48" s="186"/>
      <c r="P48" s="187"/>
      <c r="Q48" s="187"/>
      <c r="R48" s="188"/>
      <c r="S48" s="188"/>
      <c r="T48" s="159"/>
      <c r="U48" s="159"/>
      <c r="V48" s="189"/>
      <c r="W48" s="190"/>
      <c r="X48" s="191"/>
      <c r="Y48" s="186"/>
      <c r="Z48" s="192"/>
      <c r="AA48" s="193"/>
      <c r="AB48" s="194"/>
    </row>
    <row r="49" spans="1:28">
      <c r="A49" s="184"/>
      <c r="B49" s="184"/>
      <c r="C49" s="184"/>
      <c r="D49" s="195"/>
      <c r="E49" s="185"/>
      <c r="F49" s="185"/>
      <c r="G49" s="185"/>
      <c r="H49" s="185"/>
      <c r="I49" s="185"/>
      <c r="J49" s="185"/>
      <c r="K49" s="185"/>
      <c r="L49" s="185"/>
      <c r="M49" s="159"/>
      <c r="N49" s="159"/>
      <c r="O49" s="186"/>
      <c r="P49" s="187"/>
      <c r="Q49" s="187"/>
      <c r="R49" s="188"/>
      <c r="S49" s="188"/>
      <c r="T49" s="159"/>
      <c r="U49" s="159"/>
      <c r="V49" s="189"/>
      <c r="W49" s="190"/>
      <c r="X49" s="191"/>
      <c r="Y49" s="186"/>
      <c r="Z49" s="192"/>
      <c r="AA49" s="193"/>
      <c r="AB49" s="194"/>
    </row>
    <row r="50" spans="1:28">
      <c r="A50" s="184"/>
      <c r="B50" s="184"/>
      <c r="C50" s="184"/>
      <c r="D50" s="195"/>
      <c r="E50" s="185"/>
      <c r="F50" s="185"/>
      <c r="G50" s="185"/>
      <c r="H50" s="185"/>
      <c r="I50" s="185"/>
      <c r="J50" s="185"/>
      <c r="K50" s="185"/>
      <c r="L50" s="185"/>
      <c r="M50" s="159"/>
      <c r="N50" s="159"/>
      <c r="O50" s="186"/>
      <c r="P50" s="187"/>
      <c r="Q50" s="187"/>
      <c r="R50" s="188"/>
      <c r="S50" s="188"/>
      <c r="T50" s="159"/>
      <c r="U50" s="159"/>
      <c r="V50" s="189"/>
      <c r="W50" s="190"/>
      <c r="X50" s="191"/>
      <c r="Y50" s="186"/>
      <c r="Z50" s="192"/>
      <c r="AA50" s="193"/>
      <c r="AB50" s="194"/>
    </row>
    <row r="51" spans="1:28">
      <c r="A51" s="197"/>
      <c r="B51" s="197"/>
      <c r="C51" s="197"/>
      <c r="D51" s="198"/>
      <c r="E51" s="199"/>
      <c r="F51" s="199"/>
      <c r="G51" s="199"/>
      <c r="H51" s="199"/>
      <c r="I51" s="199"/>
      <c r="J51" s="199"/>
      <c r="K51" s="199"/>
      <c r="L51" s="199"/>
      <c r="M51" s="200"/>
      <c r="N51" s="200"/>
      <c r="O51" s="201"/>
      <c r="P51" s="202"/>
      <c r="Q51" s="202"/>
      <c r="R51" s="203"/>
      <c r="S51" s="203"/>
      <c r="T51" s="200"/>
      <c r="U51" s="200"/>
      <c r="V51" s="204"/>
      <c r="W51" s="205"/>
      <c r="X51" s="206"/>
      <c r="Y51" s="201"/>
      <c r="Z51" s="207"/>
      <c r="AA51" s="208"/>
      <c r="AB51" s="209"/>
    </row>
    <row r="52" spans="1:28">
      <c r="A52" s="184"/>
      <c r="B52" s="184"/>
      <c r="C52" s="184"/>
      <c r="D52" s="195"/>
      <c r="E52" s="185"/>
      <c r="F52" s="185"/>
      <c r="G52" s="185"/>
      <c r="H52" s="185"/>
      <c r="I52" s="185"/>
      <c r="J52" s="185"/>
      <c r="K52" s="185"/>
      <c r="L52" s="185"/>
      <c r="M52" s="159"/>
      <c r="N52" s="159"/>
      <c r="O52" s="186"/>
      <c r="P52" s="187"/>
      <c r="Q52" s="187"/>
      <c r="R52" s="188"/>
      <c r="S52" s="188"/>
      <c r="T52" s="159"/>
      <c r="U52" s="159"/>
      <c r="V52" s="189"/>
      <c r="W52" s="190"/>
      <c r="X52" s="191"/>
      <c r="Y52" s="186"/>
      <c r="Z52" s="192"/>
      <c r="AA52" s="193"/>
      <c r="AB52" s="194"/>
    </row>
    <row r="53" spans="1:28">
      <c r="A53" s="184"/>
      <c r="B53" s="184"/>
      <c r="C53" s="184"/>
      <c r="D53" s="195"/>
      <c r="E53" s="185"/>
      <c r="F53" s="185"/>
      <c r="G53" s="185"/>
      <c r="H53" s="185"/>
      <c r="I53" s="185"/>
      <c r="J53" s="185"/>
      <c r="K53" s="185"/>
      <c r="L53" s="185"/>
      <c r="M53" s="159"/>
      <c r="N53" s="159"/>
      <c r="O53" s="186"/>
      <c r="P53" s="187"/>
      <c r="Q53" s="187"/>
      <c r="R53" s="188"/>
      <c r="S53" s="188"/>
      <c r="T53" s="159"/>
      <c r="U53" s="159"/>
      <c r="V53" s="189"/>
      <c r="W53" s="190"/>
      <c r="X53" s="191"/>
      <c r="Y53" s="186"/>
      <c r="Z53" s="192"/>
      <c r="AA53" s="193"/>
      <c r="AB53" s="194"/>
    </row>
    <row r="54" spans="1:28">
      <c r="A54" s="184"/>
      <c r="B54" s="184"/>
      <c r="C54" s="184"/>
      <c r="D54" s="195"/>
      <c r="E54" s="185"/>
      <c r="F54" s="185"/>
      <c r="G54" s="185"/>
      <c r="H54" s="185"/>
      <c r="I54" s="185"/>
      <c r="J54" s="185"/>
      <c r="K54" s="185"/>
      <c r="L54" s="185"/>
      <c r="M54" s="159"/>
      <c r="N54" s="159"/>
      <c r="O54" s="186"/>
      <c r="P54" s="187"/>
      <c r="Q54" s="187"/>
      <c r="R54" s="188"/>
      <c r="S54" s="188"/>
      <c r="T54" s="159"/>
      <c r="U54" s="159"/>
      <c r="V54" s="189"/>
      <c r="W54" s="190"/>
      <c r="X54" s="191"/>
      <c r="Y54" s="186"/>
      <c r="Z54" s="192"/>
      <c r="AA54" s="193"/>
      <c r="AB54" s="194"/>
    </row>
    <row r="55" spans="1:28">
      <c r="A55" s="184"/>
      <c r="B55" s="184"/>
      <c r="C55" s="184"/>
      <c r="D55" s="195"/>
      <c r="E55" s="185"/>
      <c r="F55" s="185"/>
      <c r="G55" s="185"/>
      <c r="H55" s="185"/>
      <c r="I55" s="185"/>
      <c r="J55" s="185"/>
      <c r="K55" s="185"/>
      <c r="L55" s="185"/>
      <c r="M55" s="159"/>
      <c r="N55" s="159"/>
      <c r="O55" s="186"/>
      <c r="P55" s="187"/>
      <c r="Q55" s="187"/>
      <c r="R55" s="188"/>
      <c r="S55" s="188"/>
      <c r="T55" s="159"/>
      <c r="U55" s="159"/>
      <c r="V55" s="189"/>
      <c r="W55" s="190"/>
      <c r="X55" s="191"/>
      <c r="Y55" s="186"/>
      <c r="Z55" s="192"/>
      <c r="AA55" s="193"/>
      <c r="AB55" s="194"/>
    </row>
    <row r="56" spans="1:28">
      <c r="A56" s="184"/>
      <c r="B56" s="184"/>
      <c r="C56" s="184"/>
      <c r="D56" s="195"/>
      <c r="E56" s="185"/>
      <c r="F56" s="185"/>
      <c r="G56" s="185"/>
      <c r="H56" s="185"/>
      <c r="I56" s="185"/>
      <c r="J56" s="185"/>
      <c r="K56" s="185"/>
      <c r="L56" s="185"/>
      <c r="M56" s="159"/>
      <c r="N56" s="159"/>
      <c r="O56" s="186"/>
      <c r="P56" s="187"/>
      <c r="Q56" s="187"/>
      <c r="R56" s="188"/>
      <c r="S56" s="188"/>
      <c r="T56" s="159"/>
      <c r="U56" s="159"/>
      <c r="V56" s="189"/>
      <c r="W56" s="190"/>
      <c r="X56" s="191"/>
      <c r="Y56" s="186"/>
      <c r="Z56" s="192"/>
      <c r="AA56" s="193"/>
      <c r="AB56" s="194"/>
    </row>
    <row r="57" spans="1:28">
      <c r="A57" s="184"/>
      <c r="B57" s="184"/>
      <c r="C57" s="184"/>
      <c r="D57" s="195"/>
      <c r="E57" s="185"/>
      <c r="F57" s="185"/>
      <c r="G57" s="185"/>
      <c r="H57" s="185"/>
      <c r="I57" s="185"/>
      <c r="J57" s="185"/>
      <c r="K57" s="185"/>
      <c r="L57" s="185"/>
      <c r="M57" s="159"/>
      <c r="N57" s="159"/>
      <c r="O57" s="186"/>
      <c r="P57" s="187"/>
      <c r="Q57" s="187"/>
      <c r="R57" s="188"/>
      <c r="S57" s="188"/>
      <c r="T57" s="159"/>
      <c r="U57" s="159"/>
      <c r="V57" s="189"/>
      <c r="W57" s="190"/>
      <c r="X57" s="191"/>
      <c r="Y57" s="186"/>
      <c r="Z57" s="192"/>
      <c r="AA57" s="193"/>
      <c r="AB57" s="194"/>
    </row>
    <row r="58" spans="1:28">
      <c r="A58" s="184"/>
      <c r="B58" s="184"/>
      <c r="C58" s="184"/>
      <c r="D58" s="195"/>
      <c r="E58" s="185"/>
      <c r="F58" s="185"/>
      <c r="G58" s="185"/>
      <c r="H58" s="185"/>
      <c r="I58" s="185"/>
      <c r="J58" s="185"/>
      <c r="K58" s="185"/>
      <c r="L58" s="185"/>
      <c r="M58" s="159"/>
      <c r="N58" s="159"/>
      <c r="O58" s="186"/>
      <c r="P58" s="187"/>
      <c r="Q58" s="187"/>
      <c r="R58" s="188"/>
      <c r="S58" s="188"/>
      <c r="T58" s="159"/>
      <c r="U58" s="159"/>
      <c r="V58" s="189"/>
      <c r="W58" s="190"/>
      <c r="X58" s="191"/>
      <c r="Y58" s="186"/>
      <c r="Z58" s="192"/>
      <c r="AA58" s="193"/>
      <c r="AB58" s="194"/>
    </row>
    <row r="59" spans="1:28">
      <c r="A59" s="184"/>
      <c r="B59" s="184"/>
      <c r="C59" s="184"/>
      <c r="D59" s="195"/>
      <c r="E59" s="185"/>
      <c r="F59" s="185"/>
      <c r="G59" s="185"/>
      <c r="H59" s="185"/>
      <c r="I59" s="185"/>
      <c r="J59" s="185"/>
      <c r="K59" s="185"/>
      <c r="L59" s="185"/>
      <c r="M59" s="159"/>
      <c r="N59" s="159"/>
      <c r="O59" s="186"/>
      <c r="P59" s="187"/>
      <c r="Q59" s="187"/>
      <c r="R59" s="188"/>
      <c r="S59" s="188"/>
      <c r="T59" s="159"/>
      <c r="U59" s="159"/>
      <c r="V59" s="189"/>
      <c r="W59" s="190"/>
      <c r="X59" s="191"/>
      <c r="Y59" s="186"/>
      <c r="Z59" s="192"/>
      <c r="AA59" s="193"/>
      <c r="AB59" s="194"/>
    </row>
    <row r="60" spans="1:28">
      <c r="A60" s="184"/>
      <c r="B60" s="184"/>
      <c r="C60" s="184"/>
      <c r="D60" s="195"/>
      <c r="E60" s="185"/>
      <c r="F60" s="185"/>
      <c r="G60" s="185"/>
      <c r="H60" s="185"/>
      <c r="I60" s="185"/>
      <c r="J60" s="185"/>
      <c r="K60" s="185"/>
      <c r="L60" s="185"/>
      <c r="M60" s="159"/>
      <c r="N60" s="159"/>
      <c r="O60" s="186"/>
      <c r="P60" s="187"/>
      <c r="Q60" s="187"/>
      <c r="R60" s="188"/>
      <c r="S60" s="188"/>
      <c r="T60" s="159"/>
      <c r="U60" s="159"/>
      <c r="V60" s="189"/>
      <c r="W60" s="190"/>
      <c r="X60" s="191"/>
      <c r="Y60" s="186"/>
      <c r="Z60" s="192"/>
      <c r="AA60" s="193"/>
      <c r="AB60" s="194"/>
    </row>
    <row r="61" spans="1:28">
      <c r="A61" s="184"/>
      <c r="B61" s="184"/>
      <c r="C61" s="184"/>
      <c r="D61" s="195"/>
      <c r="E61" s="185"/>
      <c r="F61" s="185"/>
      <c r="G61" s="185"/>
      <c r="H61" s="185"/>
      <c r="I61" s="185"/>
      <c r="J61" s="185"/>
      <c r="K61" s="185"/>
      <c r="L61" s="185"/>
      <c r="M61" s="159"/>
      <c r="N61" s="159"/>
      <c r="O61" s="186"/>
      <c r="P61" s="187"/>
      <c r="Q61" s="187"/>
      <c r="R61" s="188"/>
      <c r="S61" s="188"/>
      <c r="T61" s="159"/>
      <c r="U61" s="159"/>
      <c r="V61" s="189"/>
      <c r="W61" s="190"/>
      <c r="X61" s="191"/>
      <c r="Y61" s="186"/>
      <c r="Z61" s="192"/>
      <c r="AA61" s="193"/>
      <c r="AB61" s="194"/>
    </row>
    <row r="62" spans="1:28">
      <c r="A62" s="184"/>
      <c r="B62" s="184"/>
      <c r="C62" s="184"/>
      <c r="D62" s="195"/>
      <c r="E62" s="185"/>
      <c r="F62" s="185"/>
      <c r="G62" s="185"/>
      <c r="H62" s="185"/>
      <c r="I62" s="185"/>
      <c r="J62" s="185"/>
      <c r="K62" s="185"/>
      <c r="L62" s="185"/>
      <c r="M62" s="159"/>
      <c r="N62" s="159"/>
      <c r="O62" s="186"/>
      <c r="P62" s="187"/>
      <c r="Q62" s="187"/>
      <c r="R62" s="188"/>
      <c r="S62" s="188"/>
      <c r="T62" s="159"/>
      <c r="U62" s="159"/>
      <c r="V62" s="189"/>
      <c r="W62" s="190"/>
      <c r="X62" s="191"/>
      <c r="Y62" s="186"/>
      <c r="Z62" s="192"/>
      <c r="AA62" s="193"/>
      <c r="AB62" s="194"/>
    </row>
    <row r="63" spans="1:28">
      <c r="A63" s="184"/>
      <c r="B63" s="184"/>
      <c r="C63" s="184"/>
      <c r="D63" s="195"/>
      <c r="E63" s="185"/>
      <c r="F63" s="185"/>
      <c r="G63" s="185"/>
      <c r="H63" s="185"/>
      <c r="I63" s="185"/>
      <c r="J63" s="185"/>
      <c r="K63" s="185"/>
      <c r="L63" s="185"/>
      <c r="M63" s="159"/>
      <c r="N63" s="159"/>
      <c r="O63" s="186"/>
      <c r="P63" s="187"/>
      <c r="Q63" s="187"/>
      <c r="R63" s="188"/>
      <c r="S63" s="188"/>
      <c r="T63" s="159"/>
      <c r="U63" s="159"/>
      <c r="V63" s="189"/>
      <c r="W63" s="190"/>
      <c r="X63" s="191"/>
      <c r="Y63" s="186"/>
      <c r="Z63" s="192"/>
      <c r="AA63" s="193"/>
      <c r="AB63" s="194"/>
    </row>
    <row r="64" spans="1:28">
      <c r="A64" s="197"/>
      <c r="B64" s="197"/>
      <c r="C64" s="197"/>
      <c r="D64" s="198"/>
      <c r="E64" s="199"/>
      <c r="F64" s="199"/>
      <c r="G64" s="199"/>
      <c r="H64" s="199"/>
      <c r="I64" s="199"/>
      <c r="J64" s="199"/>
      <c r="K64" s="199"/>
      <c r="L64" s="199"/>
      <c r="M64" s="200"/>
      <c r="N64" s="200"/>
      <c r="O64" s="201"/>
      <c r="P64" s="202"/>
      <c r="Q64" s="202"/>
      <c r="R64" s="203"/>
      <c r="S64" s="203"/>
      <c r="T64" s="200"/>
      <c r="U64" s="200"/>
      <c r="V64" s="204"/>
      <c r="W64" s="205"/>
      <c r="X64" s="206"/>
      <c r="Y64" s="201"/>
      <c r="Z64" s="207"/>
      <c r="AA64" s="208"/>
      <c r="AB64" s="209"/>
    </row>
    <row r="65" spans="1:28">
      <c r="A65" s="184"/>
      <c r="B65" s="184"/>
      <c r="C65" s="184"/>
      <c r="D65" s="195"/>
      <c r="E65" s="185"/>
      <c r="F65" s="185"/>
      <c r="G65" s="185"/>
      <c r="H65" s="185"/>
      <c r="I65" s="185"/>
      <c r="J65" s="185"/>
      <c r="K65" s="185"/>
      <c r="L65" s="185"/>
      <c r="M65" s="159"/>
      <c r="N65" s="159"/>
      <c r="O65" s="186"/>
      <c r="P65" s="187"/>
      <c r="Q65" s="187"/>
      <c r="R65" s="188"/>
      <c r="S65" s="188"/>
      <c r="T65" s="159"/>
      <c r="U65" s="159"/>
      <c r="V65" s="189"/>
      <c r="W65" s="190"/>
      <c r="X65" s="191"/>
      <c r="Y65" s="186"/>
      <c r="Z65" s="192"/>
      <c r="AA65" s="193"/>
      <c r="AB65" s="194"/>
    </row>
    <row r="66" spans="1:28">
      <c r="A66" s="184"/>
      <c r="B66" s="184"/>
      <c r="C66" s="184"/>
      <c r="D66" s="195"/>
      <c r="E66" s="185"/>
      <c r="F66" s="185"/>
      <c r="G66" s="185"/>
      <c r="H66" s="185"/>
      <c r="I66" s="185"/>
      <c r="J66" s="185"/>
      <c r="K66" s="185"/>
      <c r="L66" s="185"/>
      <c r="M66" s="159"/>
      <c r="N66" s="159"/>
      <c r="O66" s="186"/>
      <c r="P66" s="187"/>
      <c r="Q66" s="187"/>
      <c r="R66" s="188"/>
      <c r="S66" s="188"/>
      <c r="T66" s="159"/>
      <c r="U66" s="159"/>
      <c r="V66" s="189"/>
      <c r="W66" s="190"/>
      <c r="X66" s="191"/>
      <c r="Y66" s="186"/>
      <c r="Z66" s="192"/>
      <c r="AA66" s="193"/>
      <c r="AB66" s="194"/>
    </row>
    <row r="67" spans="1:28">
      <c r="A67" s="184"/>
      <c r="B67" s="184"/>
      <c r="C67" s="184"/>
      <c r="D67" s="195"/>
      <c r="E67" s="185"/>
      <c r="F67" s="185"/>
      <c r="G67" s="185"/>
      <c r="H67" s="185"/>
      <c r="I67" s="185"/>
      <c r="J67" s="185"/>
      <c r="K67" s="185"/>
      <c r="L67" s="185"/>
      <c r="M67" s="159"/>
      <c r="N67" s="159"/>
      <c r="O67" s="186"/>
      <c r="P67" s="187"/>
      <c r="Q67" s="187"/>
      <c r="R67" s="188"/>
      <c r="S67" s="188"/>
      <c r="T67" s="159"/>
      <c r="U67" s="159"/>
      <c r="V67" s="189"/>
      <c r="W67" s="190"/>
      <c r="X67" s="191"/>
      <c r="Y67" s="186"/>
      <c r="Z67" s="192"/>
      <c r="AA67" s="193"/>
      <c r="AB67" s="194"/>
    </row>
    <row r="68" spans="1:28">
      <c r="A68" s="184"/>
      <c r="B68" s="184"/>
      <c r="C68" s="184"/>
      <c r="D68" s="195"/>
      <c r="E68" s="185"/>
      <c r="F68" s="185"/>
      <c r="G68" s="185"/>
      <c r="H68" s="185"/>
      <c r="I68" s="185"/>
      <c r="J68" s="185"/>
      <c r="K68" s="185"/>
      <c r="L68" s="185"/>
      <c r="M68" s="159"/>
      <c r="N68" s="159"/>
      <c r="O68" s="186"/>
      <c r="P68" s="187"/>
      <c r="Q68" s="187"/>
      <c r="R68" s="188"/>
      <c r="S68" s="188"/>
      <c r="T68" s="159"/>
      <c r="U68" s="159"/>
      <c r="V68" s="189"/>
      <c r="W68" s="190"/>
      <c r="X68" s="191"/>
      <c r="Y68" s="186"/>
      <c r="Z68" s="192"/>
      <c r="AA68" s="193"/>
      <c r="AB68" s="194"/>
    </row>
    <row r="69" spans="1:28">
      <c r="A69" s="184"/>
      <c r="B69" s="184"/>
      <c r="C69" s="184"/>
      <c r="D69" s="195"/>
      <c r="E69" s="185"/>
      <c r="F69" s="185"/>
      <c r="G69" s="185"/>
      <c r="H69" s="185"/>
      <c r="I69" s="185"/>
      <c r="J69" s="185"/>
      <c r="K69" s="185"/>
      <c r="L69" s="185"/>
      <c r="M69" s="159"/>
      <c r="N69" s="159"/>
      <c r="O69" s="186"/>
      <c r="P69" s="187"/>
      <c r="Q69" s="187"/>
      <c r="R69" s="188"/>
      <c r="S69" s="188"/>
      <c r="T69" s="159"/>
      <c r="U69" s="159"/>
      <c r="V69" s="189"/>
      <c r="W69" s="190"/>
      <c r="X69" s="191"/>
      <c r="Y69" s="186"/>
      <c r="Z69" s="192"/>
      <c r="AA69" s="193"/>
      <c r="AB69" s="194"/>
    </row>
    <row r="70" spans="1:28">
      <c r="A70" s="184"/>
      <c r="B70" s="184"/>
      <c r="C70" s="184"/>
      <c r="D70" s="195"/>
      <c r="E70" s="185"/>
      <c r="F70" s="185"/>
      <c r="G70" s="185"/>
      <c r="H70" s="185"/>
      <c r="I70" s="185"/>
      <c r="J70" s="185"/>
      <c r="K70" s="185"/>
      <c r="L70" s="185"/>
      <c r="M70" s="159"/>
      <c r="N70" s="159"/>
      <c r="O70" s="186"/>
      <c r="P70" s="187"/>
      <c r="Q70" s="187"/>
      <c r="R70" s="188"/>
      <c r="S70" s="188"/>
      <c r="T70" s="159"/>
      <c r="U70" s="159"/>
      <c r="V70" s="189"/>
      <c r="W70" s="190"/>
      <c r="X70" s="191"/>
      <c r="Y70" s="186"/>
      <c r="Z70" s="192"/>
      <c r="AA70" s="193"/>
      <c r="AB70" s="194"/>
    </row>
    <row r="71" spans="1:28">
      <c r="A71" s="184"/>
      <c r="B71" s="184"/>
      <c r="C71" s="184"/>
      <c r="D71" s="195"/>
      <c r="E71" s="185"/>
      <c r="F71" s="185"/>
      <c r="G71" s="185"/>
      <c r="H71" s="185"/>
      <c r="I71" s="185"/>
      <c r="J71" s="185"/>
      <c r="K71" s="185"/>
      <c r="L71" s="185"/>
      <c r="M71" s="159"/>
      <c r="N71" s="159"/>
      <c r="O71" s="186"/>
      <c r="P71" s="187"/>
      <c r="Q71" s="187"/>
      <c r="R71" s="188"/>
      <c r="S71" s="188"/>
      <c r="T71" s="159"/>
      <c r="U71" s="159"/>
      <c r="V71" s="189"/>
      <c r="W71" s="190"/>
      <c r="X71" s="191"/>
      <c r="Y71" s="186"/>
      <c r="Z71" s="192"/>
      <c r="AA71" s="193"/>
      <c r="AB71" s="194"/>
    </row>
    <row r="72" spans="1:28">
      <c r="A72" s="184"/>
      <c r="B72" s="184"/>
      <c r="C72" s="184"/>
      <c r="D72" s="195"/>
      <c r="E72" s="185"/>
      <c r="F72" s="185"/>
      <c r="G72" s="185"/>
      <c r="H72" s="185"/>
      <c r="I72" s="185"/>
      <c r="J72" s="185"/>
      <c r="K72" s="185"/>
      <c r="L72" s="185"/>
      <c r="M72" s="159"/>
      <c r="N72" s="159"/>
      <c r="O72" s="186"/>
      <c r="P72" s="187"/>
      <c r="Q72" s="187"/>
      <c r="R72" s="188"/>
      <c r="S72" s="188"/>
      <c r="T72" s="159"/>
      <c r="U72" s="159"/>
      <c r="V72" s="189"/>
      <c r="W72" s="190"/>
      <c r="X72" s="191"/>
      <c r="Y72" s="186"/>
      <c r="Z72" s="192"/>
      <c r="AA72" s="193"/>
      <c r="AB72" s="194"/>
    </row>
    <row r="73" spans="1:28">
      <c r="A73" s="184"/>
      <c r="B73" s="184"/>
      <c r="C73" s="184"/>
      <c r="D73" s="195"/>
      <c r="E73" s="185"/>
      <c r="F73" s="185"/>
      <c r="G73" s="185"/>
      <c r="H73" s="185"/>
      <c r="I73" s="185"/>
      <c r="J73" s="185"/>
      <c r="K73" s="185"/>
      <c r="L73" s="185"/>
      <c r="M73" s="159"/>
      <c r="N73" s="159"/>
      <c r="O73" s="186"/>
      <c r="P73" s="187"/>
      <c r="Q73" s="187"/>
      <c r="R73" s="188"/>
      <c r="S73" s="188"/>
      <c r="T73" s="159"/>
      <c r="U73" s="159"/>
      <c r="V73" s="189"/>
      <c r="W73" s="190"/>
      <c r="X73" s="191"/>
      <c r="Y73" s="186"/>
      <c r="Z73" s="192"/>
      <c r="AA73" s="193"/>
      <c r="AB73" s="194"/>
    </row>
    <row r="74" spans="1:28">
      <c r="A74" s="184"/>
      <c r="B74" s="184"/>
      <c r="C74" s="184"/>
      <c r="D74" s="195"/>
      <c r="E74" s="185"/>
      <c r="F74" s="185"/>
      <c r="G74" s="185"/>
      <c r="H74" s="185"/>
      <c r="I74" s="185"/>
      <c r="J74" s="185"/>
      <c r="K74" s="185"/>
      <c r="L74" s="185"/>
      <c r="M74" s="159"/>
      <c r="N74" s="159"/>
      <c r="O74" s="186"/>
      <c r="P74" s="187"/>
      <c r="Q74" s="187"/>
      <c r="R74" s="188"/>
      <c r="S74" s="188"/>
      <c r="T74" s="159"/>
      <c r="U74" s="159"/>
      <c r="V74" s="189"/>
      <c r="W74" s="190"/>
      <c r="X74" s="191"/>
      <c r="Y74" s="186"/>
      <c r="Z74" s="192"/>
      <c r="AA74" s="193"/>
      <c r="AB74" s="194"/>
    </row>
    <row r="75" spans="1:28">
      <c r="A75" s="184"/>
      <c r="B75" s="184"/>
      <c r="C75" s="184"/>
      <c r="D75" s="195"/>
      <c r="E75" s="185"/>
      <c r="F75" s="185"/>
      <c r="G75" s="185"/>
      <c r="H75" s="185"/>
      <c r="I75" s="185"/>
      <c r="J75" s="185"/>
      <c r="K75" s="185"/>
      <c r="L75" s="185"/>
      <c r="M75" s="159"/>
      <c r="N75" s="159"/>
      <c r="O75" s="186"/>
      <c r="P75" s="187"/>
      <c r="Q75" s="187"/>
      <c r="R75" s="188"/>
      <c r="S75" s="188"/>
      <c r="T75" s="159"/>
      <c r="U75" s="159"/>
      <c r="V75" s="189"/>
      <c r="W75" s="190"/>
      <c r="X75" s="191"/>
      <c r="Y75" s="186"/>
      <c r="Z75" s="192"/>
      <c r="AA75" s="193"/>
      <c r="AB75" s="194"/>
    </row>
    <row r="76" spans="1:28">
      <c r="A76" s="184"/>
      <c r="B76" s="184"/>
      <c r="C76" s="184"/>
      <c r="D76" s="195"/>
      <c r="E76" s="185"/>
      <c r="F76" s="185"/>
      <c r="G76" s="185"/>
      <c r="H76" s="185"/>
      <c r="I76" s="185"/>
      <c r="J76" s="185"/>
      <c r="K76" s="185"/>
      <c r="L76" s="185"/>
      <c r="M76" s="159"/>
      <c r="N76" s="159"/>
      <c r="O76" s="186"/>
      <c r="P76" s="187"/>
      <c r="Q76" s="187"/>
      <c r="R76" s="188"/>
      <c r="S76" s="188"/>
      <c r="T76" s="159"/>
      <c r="U76" s="159"/>
      <c r="V76" s="189"/>
      <c r="W76" s="190"/>
      <c r="X76" s="191"/>
      <c r="Y76" s="186"/>
      <c r="Z76" s="192"/>
      <c r="AA76" s="193"/>
      <c r="AB76" s="194"/>
    </row>
    <row r="77" spans="1:28">
      <c r="A77" s="184"/>
      <c r="B77" s="184"/>
      <c r="C77" s="184"/>
      <c r="D77" s="195"/>
      <c r="E77" s="185"/>
      <c r="F77" s="185"/>
      <c r="G77" s="185"/>
      <c r="H77" s="185"/>
      <c r="I77" s="185"/>
      <c r="J77" s="185"/>
      <c r="K77" s="185"/>
      <c r="L77" s="185"/>
      <c r="M77" s="159"/>
      <c r="N77" s="159"/>
      <c r="O77" s="186"/>
      <c r="P77" s="187"/>
      <c r="Q77" s="187"/>
      <c r="R77" s="188"/>
      <c r="S77" s="188"/>
      <c r="T77" s="159"/>
      <c r="U77" s="159"/>
      <c r="V77" s="189"/>
      <c r="W77" s="190"/>
      <c r="X77" s="191"/>
      <c r="Y77" s="186"/>
      <c r="Z77" s="192"/>
      <c r="AA77" s="193"/>
      <c r="AB77" s="194"/>
    </row>
    <row r="78" spans="1:28">
      <c r="A78" s="184"/>
      <c r="B78" s="184"/>
      <c r="C78" s="184"/>
      <c r="D78" s="195"/>
      <c r="E78" s="185"/>
      <c r="F78" s="185"/>
      <c r="G78" s="185"/>
      <c r="H78" s="185"/>
      <c r="I78" s="185"/>
      <c r="J78" s="185"/>
      <c r="K78" s="185"/>
      <c r="L78" s="185"/>
      <c r="M78" s="159"/>
      <c r="N78" s="159"/>
      <c r="O78" s="186"/>
      <c r="P78" s="187"/>
      <c r="Q78" s="187"/>
      <c r="R78" s="188"/>
      <c r="S78" s="188"/>
      <c r="T78" s="159"/>
      <c r="U78" s="159"/>
      <c r="V78" s="189"/>
      <c r="W78" s="190"/>
      <c r="X78" s="191"/>
      <c r="Y78" s="186"/>
      <c r="Z78" s="192"/>
      <c r="AA78" s="193"/>
      <c r="AB78" s="194"/>
    </row>
    <row r="79" spans="1:28">
      <c r="A79" s="184"/>
      <c r="B79" s="184"/>
      <c r="C79" s="184"/>
      <c r="D79" s="195"/>
      <c r="E79" s="185"/>
      <c r="F79" s="185"/>
      <c r="G79" s="185"/>
      <c r="H79" s="185"/>
      <c r="I79" s="185"/>
      <c r="J79" s="185"/>
      <c r="K79" s="185"/>
      <c r="L79" s="185"/>
      <c r="M79" s="159"/>
      <c r="N79" s="159"/>
      <c r="O79" s="186"/>
      <c r="P79" s="187"/>
      <c r="Q79" s="187"/>
      <c r="R79" s="188"/>
      <c r="S79" s="188"/>
      <c r="T79" s="159"/>
      <c r="U79" s="159"/>
      <c r="V79" s="189"/>
      <c r="W79" s="190"/>
      <c r="X79" s="191"/>
      <c r="Y79" s="186"/>
      <c r="Z79" s="192"/>
      <c r="AA79" s="193"/>
      <c r="AB79" s="194"/>
    </row>
    <row r="80" spans="1:28">
      <c r="A80" s="184"/>
      <c r="B80" s="184"/>
      <c r="C80" s="184"/>
      <c r="D80" s="195"/>
      <c r="E80" s="185"/>
      <c r="F80" s="185"/>
      <c r="G80" s="185"/>
      <c r="H80" s="185"/>
      <c r="I80" s="185"/>
      <c r="J80" s="185"/>
      <c r="K80" s="185"/>
      <c r="L80" s="185"/>
      <c r="M80" s="159"/>
      <c r="N80" s="159"/>
      <c r="O80" s="186"/>
      <c r="P80" s="187"/>
      <c r="Q80" s="187"/>
      <c r="R80" s="188"/>
      <c r="S80" s="188"/>
      <c r="T80" s="159"/>
      <c r="U80" s="159"/>
      <c r="V80" s="189"/>
      <c r="W80" s="190"/>
      <c r="X80" s="191"/>
      <c r="Y80" s="186"/>
      <c r="Z80" s="192"/>
      <c r="AA80" s="193"/>
      <c r="AB80" s="194"/>
    </row>
    <row r="81" spans="1:28">
      <c r="A81" s="184"/>
      <c r="B81" s="184"/>
      <c r="C81" s="184"/>
      <c r="D81" s="195"/>
      <c r="E81" s="185"/>
      <c r="F81" s="185"/>
      <c r="G81" s="185"/>
      <c r="H81" s="185"/>
      <c r="I81" s="185"/>
      <c r="J81" s="185"/>
      <c r="K81" s="185"/>
      <c r="L81" s="185"/>
      <c r="M81" s="159"/>
      <c r="N81" s="159"/>
      <c r="O81" s="186"/>
      <c r="P81" s="187"/>
      <c r="Q81" s="187"/>
      <c r="R81" s="188"/>
      <c r="S81" s="188"/>
      <c r="T81" s="159"/>
      <c r="U81" s="159"/>
      <c r="V81" s="189"/>
      <c r="W81" s="190"/>
      <c r="X81" s="191"/>
      <c r="Y81" s="186"/>
      <c r="Z81" s="192"/>
      <c r="AA81" s="193"/>
      <c r="AB81" s="194"/>
    </row>
    <row r="82" spans="1:28">
      <c r="A82" s="184"/>
      <c r="B82" s="184"/>
      <c r="C82" s="184"/>
      <c r="D82" s="195"/>
      <c r="E82" s="185"/>
      <c r="F82" s="185"/>
      <c r="G82" s="185"/>
      <c r="H82" s="185"/>
      <c r="I82" s="185"/>
      <c r="J82" s="185"/>
      <c r="K82" s="185"/>
      <c r="L82" s="185"/>
      <c r="M82" s="159"/>
      <c r="N82" s="159"/>
      <c r="O82" s="186"/>
      <c r="P82" s="187"/>
      <c r="Q82" s="187"/>
      <c r="R82" s="188"/>
      <c r="S82" s="188"/>
      <c r="T82" s="159"/>
      <c r="U82" s="159"/>
      <c r="V82" s="189"/>
      <c r="W82" s="190"/>
      <c r="X82" s="191"/>
      <c r="Y82" s="186"/>
      <c r="Z82" s="192"/>
      <c r="AA82" s="193"/>
      <c r="AB82" s="194"/>
    </row>
    <row r="83" spans="1:28">
      <c r="A83" s="184"/>
      <c r="B83" s="184"/>
      <c r="C83" s="184"/>
      <c r="D83" s="195"/>
      <c r="E83" s="185"/>
      <c r="F83" s="185"/>
      <c r="G83" s="185"/>
      <c r="H83" s="185"/>
      <c r="I83" s="185"/>
      <c r="J83" s="185"/>
      <c r="K83" s="185"/>
      <c r="L83" s="185"/>
      <c r="M83" s="159"/>
      <c r="N83" s="159"/>
      <c r="O83" s="186"/>
      <c r="P83" s="187"/>
      <c r="Q83" s="187"/>
      <c r="R83" s="188"/>
      <c r="S83" s="188"/>
      <c r="T83" s="159"/>
      <c r="U83" s="159"/>
      <c r="V83" s="189"/>
      <c r="W83" s="190"/>
      <c r="X83" s="191"/>
      <c r="Y83" s="186"/>
      <c r="Z83" s="192"/>
      <c r="AA83" s="193"/>
      <c r="AB83" s="194"/>
    </row>
    <row r="84" spans="1:28">
      <c r="A84" s="184"/>
      <c r="B84" s="184"/>
      <c r="C84" s="184"/>
      <c r="D84" s="195"/>
      <c r="E84" s="185"/>
      <c r="F84" s="185"/>
      <c r="G84" s="185"/>
      <c r="H84" s="185"/>
      <c r="I84" s="185"/>
      <c r="J84" s="185"/>
      <c r="K84" s="185"/>
      <c r="L84" s="185"/>
      <c r="M84" s="159"/>
      <c r="N84" s="159"/>
      <c r="O84" s="186"/>
      <c r="P84" s="187"/>
      <c r="Q84" s="187"/>
      <c r="R84" s="188"/>
      <c r="S84" s="188"/>
      <c r="T84" s="159"/>
      <c r="U84" s="159"/>
      <c r="V84" s="189"/>
      <c r="W84" s="190"/>
      <c r="X84" s="191"/>
      <c r="Y84" s="186"/>
      <c r="Z84" s="192"/>
      <c r="AA84" s="193"/>
      <c r="AB84" s="194"/>
    </row>
    <row r="85" spans="1:28">
      <c r="A85" s="184"/>
      <c r="B85" s="184"/>
      <c r="C85" s="184"/>
      <c r="D85" s="195"/>
      <c r="E85" s="185"/>
      <c r="F85" s="185"/>
      <c r="G85" s="185"/>
      <c r="H85" s="185"/>
      <c r="I85" s="185"/>
      <c r="J85" s="185"/>
      <c r="K85" s="185"/>
      <c r="L85" s="185"/>
      <c r="M85" s="159"/>
      <c r="N85" s="159"/>
      <c r="O85" s="186"/>
      <c r="P85" s="187"/>
      <c r="Q85" s="187"/>
      <c r="R85" s="188"/>
      <c r="S85" s="188"/>
      <c r="T85" s="159"/>
      <c r="U85" s="159"/>
      <c r="V85" s="189"/>
      <c r="W85" s="190"/>
      <c r="X85" s="191"/>
      <c r="Y85" s="186"/>
      <c r="Z85" s="192"/>
      <c r="AA85" s="193"/>
      <c r="AB85" s="194"/>
    </row>
    <row r="86" spans="1:28">
      <c r="A86" s="184"/>
      <c r="B86" s="184"/>
      <c r="C86" s="184"/>
      <c r="D86" s="195"/>
      <c r="E86" s="185"/>
      <c r="F86" s="185"/>
      <c r="G86" s="185"/>
      <c r="H86" s="185"/>
      <c r="I86" s="185"/>
      <c r="J86" s="185"/>
      <c r="K86" s="185"/>
      <c r="L86" s="185"/>
      <c r="M86" s="159"/>
      <c r="N86" s="159"/>
      <c r="O86" s="186"/>
      <c r="P86" s="187"/>
      <c r="Q86" s="187"/>
      <c r="R86" s="188"/>
      <c r="S86" s="188"/>
      <c r="T86" s="159"/>
      <c r="U86" s="159"/>
      <c r="V86" s="189"/>
      <c r="W86" s="190"/>
      <c r="X86" s="191"/>
      <c r="Y86" s="186"/>
      <c r="Z86" s="192"/>
      <c r="AA86" s="193"/>
      <c r="AB86" s="194"/>
    </row>
    <row r="87" spans="1:28">
      <c r="A87" s="184"/>
      <c r="B87" s="184"/>
      <c r="C87" s="184"/>
      <c r="D87" s="195"/>
      <c r="E87" s="185"/>
      <c r="F87" s="185"/>
      <c r="G87" s="185"/>
      <c r="H87" s="185"/>
      <c r="I87" s="185"/>
      <c r="J87" s="185"/>
      <c r="K87" s="185"/>
      <c r="L87" s="185"/>
      <c r="M87" s="159"/>
      <c r="N87" s="159"/>
      <c r="O87" s="186"/>
      <c r="P87" s="187"/>
      <c r="Q87" s="187"/>
      <c r="R87" s="188"/>
      <c r="S87" s="188"/>
      <c r="T87" s="159"/>
      <c r="U87" s="159"/>
      <c r="V87" s="189"/>
      <c r="W87" s="190"/>
      <c r="X87" s="191"/>
      <c r="Y87" s="186"/>
      <c r="Z87" s="192"/>
      <c r="AA87" s="193"/>
      <c r="AB87" s="194"/>
    </row>
    <row r="88" spans="1:28">
      <c r="A88" s="184"/>
      <c r="B88" s="184"/>
      <c r="C88" s="184"/>
      <c r="D88" s="195"/>
      <c r="E88" s="185"/>
      <c r="F88" s="185"/>
      <c r="G88" s="185"/>
      <c r="H88" s="185"/>
      <c r="I88" s="185"/>
      <c r="J88" s="185"/>
      <c r="K88" s="185"/>
      <c r="L88" s="185"/>
      <c r="M88" s="159"/>
      <c r="N88" s="159"/>
      <c r="O88" s="186"/>
      <c r="P88" s="187"/>
      <c r="Q88" s="187"/>
      <c r="R88" s="188"/>
      <c r="S88" s="188"/>
      <c r="T88" s="159"/>
      <c r="U88" s="159"/>
      <c r="V88" s="189"/>
      <c r="W88" s="190"/>
      <c r="X88" s="191"/>
      <c r="Y88" s="186"/>
      <c r="Z88" s="192"/>
      <c r="AA88" s="193"/>
      <c r="AB88" s="194"/>
    </row>
    <row r="89" spans="1:28">
      <c r="A89" s="184"/>
      <c r="B89" s="184"/>
      <c r="C89" s="184"/>
      <c r="D89" s="195"/>
      <c r="E89" s="185"/>
      <c r="F89" s="185"/>
      <c r="G89" s="185"/>
      <c r="H89" s="185"/>
      <c r="I89" s="185"/>
      <c r="J89" s="185"/>
      <c r="K89" s="185"/>
      <c r="L89" s="185"/>
      <c r="M89" s="159"/>
      <c r="N89" s="159"/>
      <c r="O89" s="186"/>
      <c r="P89" s="187"/>
      <c r="Q89" s="187"/>
      <c r="R89" s="188"/>
      <c r="S89" s="188"/>
      <c r="T89" s="159"/>
      <c r="U89" s="159"/>
      <c r="V89" s="189"/>
      <c r="W89" s="190"/>
      <c r="X89" s="191"/>
      <c r="Y89" s="186"/>
      <c r="Z89" s="192"/>
      <c r="AA89" s="193"/>
      <c r="AB89" s="194"/>
    </row>
    <row r="90" spans="1:28">
      <c r="A90" s="184"/>
      <c r="B90" s="184"/>
      <c r="C90" s="184"/>
      <c r="D90" s="195"/>
      <c r="E90" s="185"/>
      <c r="F90" s="185"/>
      <c r="G90" s="185"/>
      <c r="H90" s="185"/>
      <c r="I90" s="185"/>
      <c r="J90" s="185"/>
      <c r="K90" s="185"/>
      <c r="L90" s="185"/>
      <c r="M90" s="159"/>
      <c r="N90" s="159"/>
      <c r="O90" s="186"/>
      <c r="P90" s="187"/>
      <c r="Q90" s="187"/>
      <c r="R90" s="188"/>
      <c r="S90" s="188"/>
      <c r="T90" s="159"/>
      <c r="U90" s="159"/>
      <c r="V90" s="189"/>
      <c r="W90" s="190"/>
      <c r="X90" s="191"/>
      <c r="Y90" s="186"/>
      <c r="Z90" s="192"/>
      <c r="AA90" s="193"/>
      <c r="AB90" s="194"/>
    </row>
    <row r="91" spans="1:28">
      <c r="A91" s="197"/>
      <c r="B91" s="197"/>
      <c r="C91" s="197"/>
      <c r="D91" s="198"/>
      <c r="E91" s="199"/>
      <c r="F91" s="199"/>
      <c r="G91" s="199"/>
      <c r="H91" s="199"/>
      <c r="I91" s="199"/>
      <c r="J91" s="199"/>
      <c r="K91" s="199"/>
      <c r="L91" s="199"/>
      <c r="M91" s="200"/>
      <c r="N91" s="200"/>
      <c r="O91" s="201"/>
      <c r="P91" s="202"/>
      <c r="Q91" s="202"/>
      <c r="R91" s="203"/>
      <c r="S91" s="203"/>
      <c r="T91" s="200"/>
      <c r="U91" s="200"/>
      <c r="V91" s="204"/>
      <c r="W91" s="205"/>
      <c r="X91" s="206"/>
      <c r="Y91" s="201"/>
      <c r="Z91" s="207"/>
      <c r="AA91" s="208"/>
      <c r="AB91" s="209"/>
    </row>
    <row r="92" spans="1:28">
      <c r="A92" s="184"/>
      <c r="B92" s="184"/>
      <c r="C92" s="184"/>
      <c r="D92" s="195"/>
      <c r="E92" s="185"/>
      <c r="F92" s="185"/>
      <c r="G92" s="185"/>
      <c r="H92" s="185"/>
      <c r="I92" s="185"/>
      <c r="J92" s="185"/>
      <c r="K92" s="185"/>
      <c r="L92" s="185"/>
      <c r="M92" s="159"/>
      <c r="N92" s="159"/>
      <c r="O92" s="186"/>
      <c r="P92" s="187"/>
      <c r="Q92" s="187"/>
      <c r="R92" s="188"/>
      <c r="S92" s="188"/>
      <c r="T92" s="159"/>
      <c r="U92" s="159"/>
      <c r="V92" s="189"/>
      <c r="W92" s="190"/>
      <c r="X92" s="191"/>
      <c r="Y92" s="186"/>
      <c r="Z92" s="192"/>
      <c r="AA92" s="193"/>
      <c r="AB92" s="194"/>
    </row>
    <row r="93" spans="1:28">
      <c r="A93" s="184"/>
      <c r="B93" s="184"/>
      <c r="C93" s="184"/>
      <c r="D93" s="195"/>
      <c r="E93" s="185"/>
      <c r="F93" s="185"/>
      <c r="G93" s="185"/>
      <c r="H93" s="185"/>
      <c r="I93" s="185"/>
      <c r="J93" s="185"/>
      <c r="K93" s="185"/>
      <c r="L93" s="185"/>
      <c r="M93" s="159"/>
      <c r="N93" s="159"/>
      <c r="O93" s="186"/>
      <c r="P93" s="187"/>
      <c r="Q93" s="187"/>
      <c r="R93" s="188"/>
      <c r="S93" s="188"/>
      <c r="T93" s="159"/>
      <c r="U93" s="159"/>
      <c r="V93" s="189"/>
      <c r="W93" s="190"/>
      <c r="X93" s="191"/>
      <c r="Y93" s="186"/>
      <c r="Z93" s="192"/>
      <c r="AA93" s="193"/>
      <c r="AB93" s="194"/>
    </row>
    <row r="94" spans="1:28">
      <c r="A94" s="184"/>
      <c r="B94" s="184"/>
      <c r="C94" s="184"/>
      <c r="D94" s="195"/>
      <c r="E94" s="185"/>
      <c r="F94" s="185"/>
      <c r="G94" s="185"/>
      <c r="H94" s="185"/>
      <c r="I94" s="185"/>
      <c r="J94" s="185"/>
      <c r="K94" s="185"/>
      <c r="L94" s="185"/>
      <c r="M94" s="159"/>
      <c r="N94" s="159"/>
      <c r="O94" s="186"/>
      <c r="P94" s="187"/>
      <c r="Q94" s="187"/>
      <c r="R94" s="188"/>
      <c r="S94" s="188"/>
      <c r="T94" s="159"/>
      <c r="U94" s="159"/>
      <c r="V94" s="189"/>
      <c r="W94" s="190"/>
      <c r="X94" s="191"/>
      <c r="Y94" s="186"/>
      <c r="Z94" s="192"/>
      <c r="AA94" s="193"/>
      <c r="AB94" s="194"/>
    </row>
    <row r="95" spans="1:28">
      <c r="A95" s="184"/>
      <c r="B95" s="184"/>
      <c r="C95" s="184"/>
      <c r="D95" s="195"/>
      <c r="E95" s="185"/>
      <c r="F95" s="185"/>
      <c r="G95" s="185"/>
      <c r="H95" s="185"/>
      <c r="I95" s="185"/>
      <c r="J95" s="185"/>
      <c r="K95" s="185"/>
      <c r="L95" s="185"/>
      <c r="M95" s="159"/>
      <c r="N95" s="159"/>
      <c r="O95" s="186"/>
      <c r="P95" s="187"/>
      <c r="Q95" s="187"/>
      <c r="R95" s="188"/>
      <c r="S95" s="188"/>
      <c r="T95" s="159"/>
      <c r="U95" s="159"/>
      <c r="V95" s="189"/>
      <c r="W95" s="190"/>
      <c r="X95" s="191"/>
      <c r="Y95" s="186"/>
      <c r="Z95" s="192"/>
      <c r="AA95" s="193"/>
      <c r="AB95" s="194"/>
    </row>
    <row r="96" spans="1:28">
      <c r="A96" s="184"/>
      <c r="B96" s="184"/>
      <c r="C96" s="184"/>
      <c r="D96" s="195"/>
      <c r="E96" s="185"/>
      <c r="F96" s="185"/>
      <c r="G96" s="185"/>
      <c r="H96" s="185"/>
      <c r="I96" s="185"/>
      <c r="J96" s="185"/>
      <c r="K96" s="185"/>
      <c r="L96" s="185"/>
      <c r="M96" s="159"/>
      <c r="N96" s="159"/>
      <c r="O96" s="186"/>
      <c r="P96" s="187"/>
      <c r="Q96" s="187"/>
      <c r="R96" s="188"/>
      <c r="S96" s="188"/>
      <c r="T96" s="159"/>
      <c r="U96" s="159"/>
      <c r="V96" s="189"/>
      <c r="W96" s="190"/>
      <c r="X96" s="191"/>
      <c r="Y96" s="186"/>
      <c r="Z96" s="192"/>
      <c r="AA96" s="193"/>
      <c r="AB96" s="194"/>
    </row>
    <row r="97" spans="1:28">
      <c r="A97" s="197"/>
      <c r="B97" s="197"/>
      <c r="C97" s="197"/>
      <c r="D97" s="198"/>
      <c r="E97" s="199"/>
      <c r="F97" s="199"/>
      <c r="G97" s="199"/>
      <c r="H97" s="199"/>
      <c r="I97" s="199"/>
      <c r="J97" s="199"/>
      <c r="K97" s="199"/>
      <c r="L97" s="199"/>
      <c r="M97" s="200"/>
      <c r="N97" s="200"/>
      <c r="O97" s="201"/>
      <c r="P97" s="202"/>
      <c r="Q97" s="202"/>
      <c r="R97" s="203"/>
      <c r="S97" s="203"/>
      <c r="T97" s="200"/>
      <c r="U97" s="200"/>
      <c r="V97" s="204"/>
      <c r="W97" s="205"/>
      <c r="X97" s="206"/>
      <c r="Y97" s="201"/>
      <c r="Z97" s="207"/>
      <c r="AA97" s="208"/>
      <c r="AB97" s="209"/>
    </row>
    <row r="98" spans="1:28">
      <c r="A98" s="184"/>
      <c r="B98" s="184"/>
      <c r="C98" s="184"/>
      <c r="D98" s="195"/>
      <c r="E98" s="185"/>
      <c r="F98" s="185"/>
      <c r="G98" s="185"/>
      <c r="H98" s="185"/>
      <c r="I98" s="185"/>
      <c r="J98" s="185"/>
      <c r="K98" s="185"/>
      <c r="L98" s="185"/>
      <c r="M98" s="159"/>
      <c r="N98" s="159"/>
      <c r="O98" s="186"/>
      <c r="P98" s="187"/>
      <c r="Q98" s="187"/>
      <c r="R98" s="188"/>
      <c r="S98" s="188"/>
      <c r="T98" s="159"/>
      <c r="U98" s="159"/>
      <c r="V98" s="189"/>
      <c r="W98" s="190"/>
      <c r="X98" s="191"/>
      <c r="Y98" s="186"/>
      <c r="Z98" s="192"/>
      <c r="AA98" s="193"/>
      <c r="AB98" s="194"/>
    </row>
    <row r="99" spans="1:28">
      <c r="A99" s="184"/>
      <c r="B99" s="184"/>
      <c r="C99" s="184"/>
      <c r="D99" s="195"/>
      <c r="E99" s="185"/>
      <c r="F99" s="185"/>
      <c r="G99" s="185"/>
      <c r="H99" s="185"/>
      <c r="I99" s="185"/>
      <c r="J99" s="185"/>
      <c r="K99" s="185"/>
      <c r="L99" s="185"/>
      <c r="M99" s="159"/>
      <c r="N99" s="159"/>
      <c r="O99" s="186"/>
      <c r="P99" s="187"/>
      <c r="Q99" s="187"/>
      <c r="R99" s="188"/>
      <c r="S99" s="188"/>
      <c r="T99" s="159"/>
      <c r="U99" s="159"/>
      <c r="V99" s="189"/>
      <c r="W99" s="190"/>
      <c r="X99" s="191"/>
      <c r="Y99" s="186"/>
      <c r="Z99" s="192"/>
      <c r="AA99" s="193"/>
      <c r="AB99" s="194"/>
    </row>
    <row r="100" spans="1:28">
      <c r="A100" s="184"/>
      <c r="B100" s="184"/>
      <c r="C100" s="184"/>
      <c r="D100" s="195"/>
      <c r="E100" s="185"/>
      <c r="F100" s="185"/>
      <c r="G100" s="185"/>
      <c r="H100" s="185"/>
      <c r="I100" s="185"/>
      <c r="J100" s="185"/>
      <c r="K100" s="185"/>
      <c r="L100" s="185"/>
      <c r="M100" s="159"/>
      <c r="N100" s="159"/>
      <c r="O100" s="186"/>
      <c r="P100" s="187"/>
      <c r="Q100" s="187"/>
      <c r="R100" s="188"/>
      <c r="S100" s="188"/>
      <c r="T100" s="159"/>
      <c r="U100" s="159"/>
      <c r="V100" s="189"/>
      <c r="W100" s="190"/>
      <c r="X100" s="191"/>
      <c r="Y100" s="186"/>
      <c r="Z100" s="192"/>
      <c r="AA100" s="193"/>
      <c r="AB100" s="194"/>
    </row>
    <row r="101" spans="1:28">
      <c r="A101" s="184"/>
      <c r="B101" s="184"/>
      <c r="C101" s="184"/>
      <c r="D101" s="195"/>
      <c r="E101" s="185"/>
      <c r="F101" s="185"/>
      <c r="G101" s="185"/>
      <c r="H101" s="185"/>
      <c r="I101" s="185"/>
      <c r="J101" s="185"/>
      <c r="K101" s="185"/>
      <c r="L101" s="185"/>
      <c r="M101" s="159"/>
      <c r="N101" s="159"/>
      <c r="O101" s="186"/>
      <c r="P101" s="187"/>
      <c r="Q101" s="187"/>
      <c r="R101" s="188"/>
      <c r="S101" s="188"/>
      <c r="T101" s="159"/>
      <c r="U101" s="159"/>
      <c r="V101" s="189"/>
      <c r="W101" s="190"/>
      <c r="X101" s="191"/>
      <c r="Y101" s="186"/>
      <c r="Z101" s="192"/>
      <c r="AA101" s="193"/>
      <c r="AB101" s="194"/>
    </row>
    <row r="102" spans="1:28">
      <c r="A102" s="184"/>
      <c r="B102" s="184"/>
      <c r="C102" s="184"/>
      <c r="D102" s="195"/>
      <c r="E102" s="185"/>
      <c r="F102" s="185"/>
      <c r="G102" s="185"/>
      <c r="H102" s="185"/>
      <c r="I102" s="185"/>
      <c r="J102" s="185"/>
      <c r="K102" s="185"/>
      <c r="L102" s="185"/>
      <c r="M102" s="159"/>
      <c r="N102" s="159"/>
      <c r="O102" s="186"/>
      <c r="P102" s="187"/>
      <c r="Q102" s="187"/>
      <c r="R102" s="188"/>
      <c r="S102" s="188"/>
      <c r="T102" s="159"/>
      <c r="U102" s="159"/>
      <c r="V102" s="189"/>
      <c r="W102" s="190"/>
      <c r="X102" s="191"/>
      <c r="Y102" s="186"/>
      <c r="Z102" s="192"/>
      <c r="AA102" s="193"/>
      <c r="AB102" s="194"/>
    </row>
    <row r="103" spans="1:28">
      <c r="A103" s="184"/>
      <c r="B103" s="184"/>
      <c r="C103" s="184"/>
      <c r="D103" s="195"/>
      <c r="E103" s="185"/>
      <c r="F103" s="185"/>
      <c r="G103" s="185"/>
      <c r="H103" s="185"/>
      <c r="I103" s="185"/>
      <c r="J103" s="185"/>
      <c r="K103" s="185"/>
      <c r="L103" s="185"/>
      <c r="M103" s="159"/>
      <c r="N103" s="159"/>
      <c r="O103" s="186"/>
      <c r="P103" s="187"/>
      <c r="Q103" s="187"/>
      <c r="R103" s="188"/>
      <c r="S103" s="188"/>
      <c r="T103" s="159"/>
      <c r="U103" s="159"/>
      <c r="V103" s="189"/>
      <c r="W103" s="190"/>
      <c r="X103" s="191"/>
      <c r="Y103" s="186"/>
      <c r="Z103" s="192"/>
      <c r="AA103" s="193"/>
      <c r="AB103" s="194"/>
    </row>
    <row r="104" spans="1:28">
      <c r="A104" s="184"/>
      <c r="B104" s="184"/>
      <c r="C104" s="184"/>
      <c r="D104" s="195"/>
      <c r="E104" s="185"/>
      <c r="F104" s="185"/>
      <c r="G104" s="185"/>
      <c r="H104" s="185"/>
      <c r="I104" s="185"/>
      <c r="J104" s="185"/>
      <c r="K104" s="185"/>
      <c r="L104" s="185"/>
      <c r="M104" s="159"/>
      <c r="N104" s="159"/>
      <c r="O104" s="186"/>
      <c r="P104" s="187"/>
      <c r="Q104" s="187"/>
      <c r="R104" s="188"/>
      <c r="S104" s="188"/>
      <c r="T104" s="159"/>
      <c r="U104" s="159"/>
      <c r="V104" s="189"/>
      <c r="W104" s="190"/>
      <c r="X104" s="191"/>
      <c r="Y104" s="186"/>
      <c r="Z104" s="192"/>
      <c r="AA104" s="193"/>
      <c r="AB104" s="194"/>
    </row>
    <row r="105" spans="1:28">
      <c r="A105" s="184"/>
      <c r="B105" s="184"/>
      <c r="C105" s="184"/>
      <c r="D105" s="195"/>
      <c r="E105" s="185"/>
      <c r="F105" s="185"/>
      <c r="G105" s="185"/>
      <c r="H105" s="185"/>
      <c r="I105" s="185"/>
      <c r="J105" s="185"/>
      <c r="K105" s="185"/>
      <c r="L105" s="185"/>
      <c r="M105" s="159"/>
      <c r="N105" s="159"/>
      <c r="O105" s="186"/>
      <c r="P105" s="187"/>
      <c r="Q105" s="187"/>
      <c r="R105" s="188"/>
      <c r="S105" s="188"/>
      <c r="T105" s="159"/>
      <c r="U105" s="159"/>
      <c r="V105" s="189"/>
      <c r="W105" s="190"/>
      <c r="X105" s="191"/>
      <c r="Y105" s="186"/>
      <c r="Z105" s="192"/>
      <c r="AA105" s="193"/>
      <c r="AB105" s="194"/>
    </row>
    <row r="106" spans="1:28">
      <c r="A106" s="184"/>
      <c r="B106" s="184"/>
      <c r="C106" s="184"/>
      <c r="D106" s="195"/>
      <c r="E106" s="185"/>
      <c r="F106" s="185"/>
      <c r="G106" s="185"/>
      <c r="H106" s="185"/>
      <c r="I106" s="185"/>
      <c r="J106" s="185"/>
      <c r="K106" s="185"/>
      <c r="L106" s="185"/>
      <c r="M106" s="159"/>
      <c r="N106" s="159"/>
      <c r="O106" s="186"/>
      <c r="P106" s="187"/>
      <c r="Q106" s="187"/>
      <c r="R106" s="188"/>
      <c r="S106" s="188"/>
      <c r="T106" s="159"/>
      <c r="U106" s="159"/>
      <c r="V106" s="189"/>
      <c r="W106" s="190"/>
      <c r="X106" s="191"/>
      <c r="Y106" s="186"/>
      <c r="Z106" s="192"/>
      <c r="AA106" s="193"/>
      <c r="AB106" s="194"/>
    </row>
    <row r="107" spans="1:28">
      <c r="A107" s="184"/>
      <c r="B107" s="184"/>
      <c r="C107" s="184"/>
      <c r="D107" s="195"/>
      <c r="E107" s="185"/>
      <c r="F107" s="185"/>
      <c r="G107" s="185"/>
      <c r="H107" s="185"/>
      <c r="I107" s="185"/>
      <c r="J107" s="185"/>
      <c r="K107" s="185"/>
      <c r="L107" s="185"/>
      <c r="M107" s="159"/>
      <c r="N107" s="159"/>
      <c r="O107" s="186"/>
      <c r="P107" s="187"/>
      <c r="Q107" s="187"/>
      <c r="R107" s="188"/>
      <c r="S107" s="188"/>
      <c r="T107" s="159"/>
      <c r="U107" s="159"/>
      <c r="V107" s="189"/>
      <c r="W107" s="190"/>
      <c r="X107" s="191"/>
      <c r="Y107" s="186"/>
      <c r="Z107" s="192"/>
      <c r="AA107" s="193"/>
      <c r="AB107" s="194"/>
    </row>
    <row r="108" spans="1:28">
      <c r="A108" s="184"/>
      <c r="B108" s="184"/>
      <c r="C108" s="184"/>
      <c r="D108" s="195"/>
      <c r="E108" s="185"/>
      <c r="F108" s="185"/>
      <c r="G108" s="185"/>
      <c r="H108" s="185"/>
      <c r="I108" s="185"/>
      <c r="J108" s="185"/>
      <c r="K108" s="185"/>
      <c r="L108" s="185"/>
      <c r="M108" s="159"/>
      <c r="N108" s="159"/>
      <c r="O108" s="186"/>
      <c r="P108" s="187"/>
      <c r="Q108" s="187"/>
      <c r="R108" s="188"/>
      <c r="S108" s="188"/>
      <c r="T108" s="159"/>
      <c r="U108" s="159"/>
      <c r="V108" s="189"/>
      <c r="W108" s="190"/>
      <c r="X108" s="191"/>
      <c r="Y108" s="186"/>
      <c r="Z108" s="192"/>
      <c r="AA108" s="193"/>
      <c r="AB108" s="194"/>
    </row>
    <row r="109" spans="1:28">
      <c r="A109" s="184"/>
      <c r="B109" s="184"/>
      <c r="C109" s="184"/>
      <c r="D109" s="195"/>
      <c r="E109" s="185"/>
      <c r="F109" s="185"/>
      <c r="G109" s="185"/>
      <c r="H109" s="185"/>
      <c r="I109" s="185"/>
      <c r="J109" s="185"/>
      <c r="K109" s="185"/>
      <c r="L109" s="185"/>
      <c r="M109" s="159"/>
      <c r="N109" s="159"/>
      <c r="O109" s="186"/>
      <c r="P109" s="187"/>
      <c r="Q109" s="187"/>
      <c r="R109" s="188"/>
      <c r="S109" s="188"/>
      <c r="T109" s="159"/>
      <c r="U109" s="159"/>
      <c r="V109" s="189"/>
      <c r="W109" s="190"/>
      <c r="X109" s="191"/>
      <c r="Y109" s="186"/>
      <c r="Z109" s="192"/>
      <c r="AA109" s="193"/>
      <c r="AB109" s="194"/>
    </row>
    <row r="110" spans="1:28">
      <c r="A110" s="184"/>
      <c r="B110" s="184"/>
      <c r="C110" s="184"/>
      <c r="D110" s="195"/>
      <c r="E110" s="185"/>
      <c r="F110" s="185"/>
      <c r="G110" s="185"/>
      <c r="H110" s="185"/>
      <c r="I110" s="185"/>
      <c r="J110" s="185"/>
      <c r="K110" s="185"/>
      <c r="L110" s="185"/>
      <c r="M110" s="159"/>
      <c r="N110" s="159"/>
      <c r="O110" s="186"/>
      <c r="P110" s="187"/>
      <c r="Q110" s="187"/>
      <c r="R110" s="188"/>
      <c r="S110" s="188"/>
      <c r="T110" s="159"/>
      <c r="U110" s="159"/>
      <c r="V110" s="189"/>
      <c r="W110" s="190"/>
      <c r="X110" s="191"/>
      <c r="Y110" s="186"/>
      <c r="Z110" s="192"/>
      <c r="AA110" s="193"/>
      <c r="AB110" s="194"/>
    </row>
    <row r="111" spans="1:28">
      <c r="A111" s="184"/>
      <c r="B111" s="184"/>
      <c r="C111" s="184"/>
      <c r="D111" s="195"/>
      <c r="E111" s="185"/>
      <c r="F111" s="185"/>
      <c r="G111" s="185"/>
      <c r="H111" s="185"/>
      <c r="I111" s="185"/>
      <c r="J111" s="185"/>
      <c r="K111" s="185"/>
      <c r="L111" s="185"/>
      <c r="M111" s="159"/>
      <c r="N111" s="159"/>
      <c r="O111" s="186"/>
      <c r="P111" s="187"/>
      <c r="Q111" s="187"/>
      <c r="R111" s="188"/>
      <c r="S111" s="188"/>
      <c r="T111" s="159"/>
      <c r="U111" s="159"/>
      <c r="V111" s="189"/>
      <c r="W111" s="190"/>
      <c r="X111" s="191"/>
      <c r="Y111" s="186"/>
      <c r="Z111" s="192"/>
      <c r="AA111" s="193"/>
      <c r="AB111" s="194"/>
    </row>
    <row r="112" spans="1:28">
      <c r="A112" s="184"/>
      <c r="B112" s="184"/>
      <c r="C112" s="184"/>
      <c r="D112" s="195"/>
      <c r="E112" s="185"/>
      <c r="F112" s="185"/>
      <c r="G112" s="185"/>
      <c r="H112" s="185"/>
      <c r="I112" s="185"/>
      <c r="J112" s="185"/>
      <c r="K112" s="185"/>
      <c r="L112" s="185"/>
      <c r="M112" s="159"/>
      <c r="N112" s="159"/>
      <c r="O112" s="186"/>
      <c r="P112" s="187"/>
      <c r="Q112" s="187"/>
      <c r="R112" s="188"/>
      <c r="S112" s="188"/>
      <c r="T112" s="159"/>
      <c r="U112" s="159"/>
      <c r="V112" s="189"/>
      <c r="W112" s="190"/>
      <c r="X112" s="191"/>
      <c r="Y112" s="186"/>
      <c r="Z112" s="192"/>
      <c r="AA112" s="193"/>
      <c r="AB112" s="194"/>
    </row>
    <row r="113" spans="1:28">
      <c r="A113" s="184"/>
      <c r="B113" s="184"/>
      <c r="C113" s="184"/>
      <c r="D113" s="195"/>
      <c r="E113" s="185"/>
      <c r="F113" s="185"/>
      <c r="G113" s="185"/>
      <c r="H113" s="185"/>
      <c r="I113" s="185"/>
      <c r="J113" s="185"/>
      <c r="K113" s="185"/>
      <c r="L113" s="185"/>
      <c r="M113" s="159"/>
      <c r="N113" s="159"/>
      <c r="O113" s="186"/>
      <c r="P113" s="187"/>
      <c r="Q113" s="187"/>
      <c r="R113" s="188"/>
      <c r="S113" s="188"/>
      <c r="T113" s="159"/>
      <c r="U113" s="159"/>
      <c r="V113" s="189"/>
      <c r="W113" s="190"/>
      <c r="X113" s="191"/>
      <c r="Y113" s="186"/>
      <c r="Z113" s="192"/>
      <c r="AA113" s="193"/>
      <c r="AB113" s="194"/>
    </row>
    <row r="114" spans="1:28">
      <c r="A114" s="184"/>
      <c r="B114" s="184"/>
      <c r="C114" s="184"/>
      <c r="D114" s="195"/>
      <c r="E114" s="185"/>
      <c r="F114" s="185"/>
      <c r="G114" s="185"/>
      <c r="H114" s="185"/>
      <c r="I114" s="185"/>
      <c r="J114" s="185"/>
      <c r="K114" s="185"/>
      <c r="L114" s="185"/>
      <c r="M114" s="159"/>
      <c r="N114" s="159"/>
      <c r="O114" s="186"/>
      <c r="P114" s="187"/>
      <c r="Q114" s="187"/>
      <c r="R114" s="188"/>
      <c r="S114" s="188"/>
      <c r="T114" s="159"/>
      <c r="U114" s="159"/>
      <c r="V114" s="189"/>
      <c r="W114" s="190"/>
      <c r="X114" s="191"/>
      <c r="Y114" s="186"/>
      <c r="Z114" s="192"/>
      <c r="AA114" s="193"/>
      <c r="AB114" s="194"/>
    </row>
    <row r="115" spans="1:28">
      <c r="A115" s="184"/>
      <c r="B115" s="184"/>
      <c r="C115" s="184"/>
      <c r="D115" s="195"/>
      <c r="E115" s="185"/>
      <c r="F115" s="185"/>
      <c r="G115" s="185"/>
      <c r="H115" s="185"/>
      <c r="I115" s="185"/>
      <c r="J115" s="185"/>
      <c r="K115" s="185"/>
      <c r="L115" s="185"/>
      <c r="M115" s="159"/>
      <c r="N115" s="159"/>
      <c r="O115" s="186"/>
      <c r="P115" s="187"/>
      <c r="Q115" s="187"/>
      <c r="R115" s="188"/>
      <c r="S115" s="188"/>
      <c r="T115" s="159"/>
      <c r="U115" s="159"/>
      <c r="V115" s="189"/>
      <c r="W115" s="190"/>
      <c r="X115" s="191"/>
      <c r="Y115" s="186"/>
      <c r="Z115" s="192"/>
      <c r="AA115" s="193"/>
      <c r="AB115" s="194"/>
    </row>
    <row r="116" spans="1:28">
      <c r="A116" s="184"/>
      <c r="B116" s="184"/>
      <c r="C116" s="184"/>
      <c r="D116" s="195"/>
      <c r="E116" s="185"/>
      <c r="F116" s="185"/>
      <c r="G116" s="185"/>
      <c r="H116" s="185"/>
      <c r="I116" s="185"/>
      <c r="J116" s="185"/>
      <c r="K116" s="185"/>
      <c r="L116" s="185"/>
      <c r="M116" s="159"/>
      <c r="N116" s="159"/>
      <c r="O116" s="186"/>
      <c r="P116" s="187"/>
      <c r="Q116" s="187"/>
      <c r="R116" s="188"/>
      <c r="S116" s="188"/>
      <c r="T116" s="159"/>
      <c r="U116" s="159"/>
      <c r="V116" s="189"/>
      <c r="W116" s="190"/>
      <c r="X116" s="191"/>
      <c r="Y116" s="186"/>
      <c r="Z116" s="192"/>
      <c r="AA116" s="193"/>
      <c r="AB116" s="194"/>
    </row>
    <row r="117" spans="1:28">
      <c r="A117" s="184"/>
      <c r="B117" s="184"/>
      <c r="C117" s="184"/>
      <c r="D117" s="195"/>
      <c r="E117" s="185"/>
      <c r="F117" s="185"/>
      <c r="G117" s="185"/>
      <c r="H117" s="185"/>
      <c r="I117" s="185"/>
      <c r="J117" s="185"/>
      <c r="K117" s="185"/>
      <c r="L117" s="185"/>
      <c r="M117" s="159"/>
      <c r="N117" s="159"/>
      <c r="O117" s="186"/>
      <c r="P117" s="187"/>
      <c r="Q117" s="187"/>
      <c r="R117" s="188"/>
      <c r="S117" s="188"/>
      <c r="T117" s="159"/>
      <c r="U117" s="159"/>
      <c r="V117" s="189"/>
      <c r="W117" s="190"/>
      <c r="X117" s="191"/>
      <c r="Y117" s="186"/>
      <c r="Z117" s="192"/>
      <c r="AA117" s="193"/>
      <c r="AB117" s="194"/>
    </row>
    <row r="118" spans="1:28">
      <c r="A118" s="184"/>
      <c r="B118" s="184"/>
      <c r="C118" s="184"/>
      <c r="D118" s="195"/>
      <c r="E118" s="185"/>
      <c r="F118" s="185"/>
      <c r="G118" s="185"/>
      <c r="H118" s="185"/>
      <c r="I118" s="185"/>
      <c r="J118" s="185"/>
      <c r="K118" s="185"/>
      <c r="L118" s="185"/>
      <c r="M118" s="159"/>
      <c r="N118" s="159"/>
      <c r="O118" s="186"/>
      <c r="P118" s="187"/>
      <c r="Q118" s="187"/>
      <c r="R118" s="188"/>
      <c r="S118" s="188"/>
      <c r="T118" s="159"/>
      <c r="U118" s="159"/>
      <c r="V118" s="189"/>
      <c r="W118" s="190"/>
      <c r="X118" s="191"/>
      <c r="Y118" s="186"/>
      <c r="Z118" s="192"/>
      <c r="AA118" s="193"/>
      <c r="AB118" s="194"/>
    </row>
    <row r="119" spans="1:28">
      <c r="A119" s="184"/>
      <c r="B119" s="184"/>
      <c r="C119" s="184"/>
      <c r="D119" s="195"/>
      <c r="E119" s="185"/>
      <c r="F119" s="185"/>
      <c r="G119" s="185"/>
      <c r="H119" s="185"/>
      <c r="I119" s="185"/>
      <c r="J119" s="185"/>
      <c r="K119" s="185"/>
      <c r="L119" s="185"/>
      <c r="M119" s="159"/>
      <c r="N119" s="159"/>
      <c r="O119" s="186"/>
      <c r="P119" s="187"/>
      <c r="Q119" s="187"/>
      <c r="R119" s="188"/>
      <c r="S119" s="188"/>
      <c r="T119" s="159"/>
      <c r="U119" s="159"/>
      <c r="V119" s="189"/>
      <c r="W119" s="190"/>
      <c r="X119" s="191"/>
      <c r="Y119" s="186"/>
      <c r="Z119" s="192"/>
      <c r="AA119" s="193"/>
      <c r="AB119" s="194"/>
    </row>
    <row r="120" spans="1:28">
      <c r="A120" s="184"/>
      <c r="B120" s="184"/>
      <c r="C120" s="184"/>
      <c r="D120" s="195"/>
      <c r="E120" s="185"/>
      <c r="F120" s="185"/>
      <c r="G120" s="185"/>
      <c r="H120" s="185"/>
      <c r="I120" s="185"/>
      <c r="J120" s="185"/>
      <c r="K120" s="185"/>
      <c r="L120" s="185"/>
      <c r="M120" s="159"/>
      <c r="N120" s="159"/>
      <c r="O120" s="186"/>
      <c r="P120" s="187"/>
      <c r="Q120" s="187"/>
      <c r="R120" s="188"/>
      <c r="S120" s="188"/>
      <c r="T120" s="159"/>
      <c r="U120" s="159"/>
      <c r="V120" s="189"/>
      <c r="W120" s="190"/>
      <c r="X120" s="191"/>
      <c r="Y120" s="186"/>
      <c r="Z120" s="192"/>
      <c r="AA120" s="193"/>
      <c r="AB120" s="194"/>
    </row>
    <row r="121" spans="1:28">
      <c r="A121" s="184"/>
      <c r="B121" s="184"/>
      <c r="C121" s="184"/>
      <c r="D121" s="195"/>
      <c r="E121" s="185"/>
      <c r="F121" s="185"/>
      <c r="G121" s="185"/>
      <c r="H121" s="185"/>
      <c r="I121" s="185"/>
      <c r="J121" s="185"/>
      <c r="K121" s="185"/>
      <c r="L121" s="185"/>
      <c r="M121" s="159"/>
      <c r="N121" s="159"/>
      <c r="O121" s="186"/>
      <c r="P121" s="187"/>
      <c r="Q121" s="187"/>
      <c r="R121" s="188"/>
      <c r="S121" s="188"/>
      <c r="T121" s="159"/>
      <c r="U121" s="159"/>
      <c r="V121" s="189"/>
      <c r="W121" s="190"/>
      <c r="X121" s="191"/>
      <c r="Y121" s="186"/>
      <c r="Z121" s="192"/>
      <c r="AA121" s="193"/>
      <c r="AB121" s="194"/>
    </row>
    <row r="122" spans="1:28">
      <c r="A122" s="184"/>
      <c r="B122" s="184"/>
      <c r="C122" s="184"/>
      <c r="D122" s="195"/>
      <c r="E122" s="185"/>
      <c r="F122" s="185"/>
      <c r="G122" s="185"/>
      <c r="H122" s="185"/>
      <c r="I122" s="185"/>
      <c r="J122" s="185"/>
      <c r="K122" s="185"/>
      <c r="L122" s="185"/>
      <c r="M122" s="159"/>
      <c r="N122" s="159"/>
      <c r="O122" s="186"/>
      <c r="P122" s="187"/>
      <c r="Q122" s="187"/>
      <c r="R122" s="188"/>
      <c r="S122" s="188"/>
      <c r="T122" s="159"/>
      <c r="U122" s="159"/>
      <c r="V122" s="189"/>
      <c r="W122" s="190"/>
      <c r="X122" s="191"/>
      <c r="Y122" s="186"/>
      <c r="Z122" s="192"/>
      <c r="AA122" s="193"/>
      <c r="AB122" s="194"/>
    </row>
    <row r="123" spans="1:28">
      <c r="A123" s="184"/>
      <c r="B123" s="184"/>
      <c r="C123" s="184"/>
      <c r="D123" s="195"/>
      <c r="E123" s="185"/>
      <c r="F123" s="185"/>
      <c r="G123" s="185"/>
      <c r="H123" s="185"/>
      <c r="I123" s="185"/>
      <c r="J123" s="185"/>
      <c r="K123" s="185"/>
      <c r="L123" s="185"/>
      <c r="M123" s="159"/>
      <c r="N123" s="159"/>
      <c r="O123" s="186"/>
      <c r="P123" s="187"/>
      <c r="Q123" s="187"/>
      <c r="R123" s="188"/>
      <c r="S123" s="188"/>
      <c r="T123" s="159"/>
      <c r="U123" s="159"/>
      <c r="V123" s="189"/>
      <c r="W123" s="190"/>
      <c r="X123" s="191"/>
      <c r="Y123" s="186"/>
      <c r="Z123" s="192"/>
      <c r="AA123" s="193"/>
      <c r="AB123" s="194"/>
    </row>
    <row r="124" spans="1:28">
      <c r="A124" s="184"/>
      <c r="B124" s="184"/>
      <c r="C124" s="184"/>
      <c r="D124" s="195"/>
      <c r="E124" s="185"/>
      <c r="F124" s="185"/>
      <c r="G124" s="185"/>
      <c r="H124" s="185"/>
      <c r="I124" s="185"/>
      <c r="J124" s="185"/>
      <c r="K124" s="185"/>
      <c r="L124" s="185"/>
      <c r="M124" s="159"/>
      <c r="N124" s="159"/>
      <c r="O124" s="186"/>
      <c r="P124" s="187"/>
      <c r="Q124" s="187"/>
      <c r="R124" s="188"/>
      <c r="S124" s="188"/>
      <c r="T124" s="159"/>
      <c r="U124" s="159"/>
      <c r="V124" s="189"/>
      <c r="W124" s="190"/>
      <c r="X124" s="191"/>
      <c r="Y124" s="186"/>
      <c r="Z124" s="192"/>
      <c r="AA124" s="193"/>
      <c r="AB124" s="194"/>
    </row>
    <row r="125" spans="1:28">
      <c r="A125" s="184"/>
      <c r="B125" s="184"/>
      <c r="C125" s="184"/>
      <c r="D125" s="195"/>
      <c r="E125" s="185"/>
      <c r="F125" s="185"/>
      <c r="G125" s="185"/>
      <c r="H125" s="185"/>
      <c r="I125" s="185"/>
      <c r="J125" s="185"/>
      <c r="K125" s="185"/>
      <c r="L125" s="185"/>
      <c r="M125" s="159"/>
      <c r="N125" s="159"/>
      <c r="O125" s="186"/>
      <c r="P125" s="187"/>
      <c r="Q125" s="187"/>
      <c r="R125" s="188"/>
      <c r="S125" s="188"/>
      <c r="T125" s="159"/>
      <c r="U125" s="159"/>
      <c r="V125" s="189"/>
      <c r="W125" s="190"/>
      <c r="X125" s="191"/>
      <c r="Y125" s="186"/>
      <c r="Z125" s="192"/>
      <c r="AA125" s="193"/>
      <c r="AB125" s="194"/>
    </row>
    <row r="126" spans="1:28">
      <c r="A126" s="184"/>
      <c r="B126" s="184"/>
      <c r="C126" s="184"/>
      <c r="D126" s="195"/>
      <c r="E126" s="185"/>
      <c r="F126" s="185"/>
      <c r="G126" s="185"/>
      <c r="H126" s="185"/>
      <c r="I126" s="185"/>
      <c r="J126" s="185"/>
      <c r="K126" s="185"/>
      <c r="L126" s="185"/>
      <c r="M126" s="159"/>
      <c r="N126" s="159"/>
      <c r="O126" s="186"/>
      <c r="P126" s="187"/>
      <c r="Q126" s="187"/>
      <c r="R126" s="188"/>
      <c r="S126" s="188"/>
      <c r="T126" s="159"/>
      <c r="U126" s="159"/>
      <c r="V126" s="189"/>
      <c r="W126" s="190"/>
      <c r="X126" s="191"/>
      <c r="Y126" s="186"/>
      <c r="Z126" s="192"/>
      <c r="AA126" s="193"/>
      <c r="AB126" s="194"/>
    </row>
    <row r="127" spans="1:28">
      <c r="A127" s="184"/>
      <c r="B127" s="184"/>
      <c r="C127" s="184"/>
      <c r="D127" s="195"/>
      <c r="E127" s="185"/>
      <c r="F127" s="185"/>
      <c r="G127" s="185"/>
      <c r="H127" s="185"/>
      <c r="I127" s="185"/>
      <c r="J127" s="185"/>
      <c r="K127" s="185"/>
      <c r="L127" s="185"/>
      <c r="M127" s="159"/>
      <c r="N127" s="159"/>
      <c r="O127" s="186"/>
      <c r="P127" s="187"/>
      <c r="Q127" s="187"/>
      <c r="R127" s="188"/>
      <c r="S127" s="188"/>
      <c r="T127" s="159"/>
      <c r="U127" s="159"/>
      <c r="V127" s="189"/>
      <c r="W127" s="190"/>
      <c r="X127" s="191"/>
      <c r="Y127" s="186"/>
      <c r="Z127" s="192"/>
      <c r="AA127" s="193"/>
      <c r="AB127" s="194"/>
    </row>
    <row r="128" spans="1:28">
      <c r="A128" s="184"/>
      <c r="B128" s="184"/>
      <c r="C128" s="184"/>
      <c r="D128" s="195"/>
      <c r="E128" s="185"/>
      <c r="F128" s="185"/>
      <c r="G128" s="185"/>
      <c r="H128" s="185"/>
      <c r="I128" s="185"/>
      <c r="J128" s="185"/>
      <c r="K128" s="185"/>
      <c r="L128" s="185"/>
      <c r="M128" s="159"/>
      <c r="N128" s="159"/>
      <c r="O128" s="186"/>
      <c r="P128" s="187"/>
      <c r="Q128" s="187"/>
      <c r="R128" s="188"/>
      <c r="S128" s="188"/>
      <c r="T128" s="159"/>
      <c r="U128" s="159"/>
      <c r="V128" s="189"/>
      <c r="W128" s="190"/>
      <c r="X128" s="191"/>
      <c r="Y128" s="186"/>
      <c r="Z128" s="192"/>
      <c r="AA128" s="193"/>
      <c r="AB128" s="194"/>
    </row>
    <row r="129" spans="1:28">
      <c r="A129" s="184"/>
      <c r="B129" s="184"/>
      <c r="C129" s="184"/>
      <c r="D129" s="195"/>
      <c r="E129" s="185"/>
      <c r="F129" s="185"/>
      <c r="G129" s="185"/>
      <c r="H129" s="185"/>
      <c r="I129" s="185"/>
      <c r="J129" s="185"/>
      <c r="K129" s="185"/>
      <c r="L129" s="185"/>
      <c r="M129" s="159"/>
      <c r="N129" s="159"/>
      <c r="O129" s="186"/>
      <c r="P129" s="187"/>
      <c r="Q129" s="187"/>
      <c r="R129" s="188"/>
      <c r="S129" s="188"/>
      <c r="T129" s="159"/>
      <c r="U129" s="159"/>
      <c r="V129" s="189"/>
      <c r="W129" s="190"/>
      <c r="X129" s="191"/>
      <c r="Y129" s="186"/>
      <c r="Z129" s="192"/>
      <c r="AA129" s="193"/>
      <c r="AB129" s="194"/>
    </row>
    <row r="130" spans="1:28">
      <c r="A130" s="184"/>
      <c r="B130" s="184"/>
      <c r="C130" s="184"/>
      <c r="D130" s="195"/>
      <c r="E130" s="185"/>
      <c r="F130" s="185"/>
      <c r="G130" s="185"/>
      <c r="H130" s="185"/>
      <c r="I130" s="185"/>
      <c r="J130" s="185"/>
      <c r="K130" s="185"/>
      <c r="L130" s="185"/>
      <c r="M130" s="159"/>
      <c r="N130" s="159"/>
      <c r="O130" s="186"/>
      <c r="P130" s="187"/>
      <c r="Q130" s="187"/>
      <c r="R130" s="188"/>
      <c r="S130" s="188"/>
      <c r="T130" s="159"/>
      <c r="U130" s="159"/>
      <c r="V130" s="189"/>
      <c r="W130" s="190"/>
      <c r="X130" s="191"/>
      <c r="Y130" s="186"/>
      <c r="Z130" s="192"/>
      <c r="AA130" s="193"/>
      <c r="AB130" s="194"/>
    </row>
    <row r="131" spans="1:28">
      <c r="A131" s="184"/>
      <c r="B131" s="184"/>
      <c r="C131" s="184"/>
      <c r="D131" s="195"/>
      <c r="E131" s="185"/>
      <c r="F131" s="185"/>
      <c r="G131" s="185"/>
      <c r="H131" s="185"/>
      <c r="I131" s="185"/>
      <c r="J131" s="185"/>
      <c r="K131" s="185"/>
      <c r="L131" s="185"/>
      <c r="M131" s="159"/>
      <c r="N131" s="159"/>
      <c r="O131" s="186"/>
      <c r="P131" s="187"/>
      <c r="Q131" s="187"/>
      <c r="R131" s="188"/>
      <c r="S131" s="188"/>
      <c r="T131" s="159"/>
      <c r="U131" s="159"/>
      <c r="V131" s="189"/>
      <c r="W131" s="190"/>
      <c r="X131" s="191"/>
      <c r="Y131" s="186"/>
      <c r="Z131" s="192"/>
      <c r="AA131" s="193"/>
      <c r="AB131" s="194"/>
    </row>
    <row r="132" spans="1:28">
      <c r="A132" s="184"/>
      <c r="B132" s="184"/>
      <c r="C132" s="184"/>
      <c r="D132" s="195"/>
      <c r="E132" s="185"/>
      <c r="F132" s="185"/>
      <c r="G132" s="185"/>
      <c r="H132" s="185"/>
      <c r="I132" s="185"/>
      <c r="J132" s="185"/>
      <c r="K132" s="185"/>
      <c r="L132" s="185"/>
      <c r="M132" s="159"/>
      <c r="N132" s="159"/>
      <c r="O132" s="186"/>
      <c r="P132" s="187"/>
      <c r="Q132" s="187"/>
      <c r="R132" s="188"/>
      <c r="S132" s="188"/>
      <c r="T132" s="159"/>
      <c r="U132" s="159"/>
      <c r="V132" s="189"/>
      <c r="W132" s="190"/>
      <c r="X132" s="191"/>
      <c r="Y132" s="186"/>
      <c r="Z132" s="192"/>
      <c r="AA132" s="193"/>
      <c r="AB132" s="194"/>
    </row>
    <row r="133" spans="1:28">
      <c r="A133" s="184"/>
      <c r="B133" s="184"/>
      <c r="C133" s="184"/>
      <c r="D133" s="195"/>
      <c r="E133" s="185"/>
      <c r="F133" s="185"/>
      <c r="G133" s="185"/>
      <c r="H133" s="185"/>
      <c r="I133" s="185"/>
      <c r="J133" s="185"/>
      <c r="K133" s="185"/>
      <c r="L133" s="185"/>
      <c r="M133" s="159"/>
      <c r="N133" s="159"/>
      <c r="O133" s="186"/>
      <c r="P133" s="187"/>
      <c r="Q133" s="187"/>
      <c r="R133" s="188"/>
      <c r="S133" s="188"/>
      <c r="T133" s="159"/>
      <c r="U133" s="159"/>
      <c r="V133" s="189"/>
      <c r="W133" s="190"/>
      <c r="X133" s="191"/>
      <c r="Y133" s="186"/>
      <c r="Z133" s="192"/>
      <c r="AA133" s="193"/>
      <c r="AB133" s="194"/>
    </row>
    <row r="134" spans="1:28">
      <c r="A134" s="184"/>
      <c r="B134" s="184"/>
      <c r="C134" s="184"/>
      <c r="D134" s="195"/>
      <c r="E134" s="185"/>
      <c r="F134" s="185"/>
      <c r="G134" s="185"/>
      <c r="H134" s="185"/>
      <c r="I134" s="185"/>
      <c r="J134" s="185"/>
      <c r="K134" s="185"/>
      <c r="L134" s="185"/>
      <c r="M134" s="159"/>
      <c r="N134" s="159"/>
      <c r="O134" s="186"/>
      <c r="P134" s="187"/>
      <c r="Q134" s="187"/>
      <c r="R134" s="188"/>
      <c r="S134" s="188"/>
      <c r="T134" s="159"/>
      <c r="U134" s="159"/>
      <c r="V134" s="189"/>
      <c r="W134" s="190"/>
      <c r="X134" s="191"/>
      <c r="Y134" s="186"/>
      <c r="Z134" s="192"/>
      <c r="AA134" s="193"/>
      <c r="AB134" s="194"/>
    </row>
    <row r="135" spans="1:28">
      <c r="A135" s="184"/>
      <c r="B135" s="184"/>
      <c r="C135" s="184"/>
      <c r="D135" s="195"/>
      <c r="E135" s="185"/>
      <c r="F135" s="185"/>
      <c r="G135" s="185"/>
      <c r="H135" s="185"/>
      <c r="I135" s="185"/>
      <c r="J135" s="185"/>
      <c r="K135" s="185"/>
      <c r="L135" s="185"/>
      <c r="M135" s="159"/>
      <c r="N135" s="159"/>
      <c r="O135" s="186"/>
      <c r="P135" s="187"/>
      <c r="Q135" s="187"/>
      <c r="R135" s="188"/>
      <c r="S135" s="188"/>
      <c r="T135" s="159"/>
      <c r="U135" s="159"/>
      <c r="V135" s="189"/>
      <c r="W135" s="190"/>
      <c r="X135" s="191"/>
      <c r="Y135" s="186"/>
      <c r="Z135" s="192"/>
      <c r="AA135" s="193"/>
      <c r="AB135" s="194"/>
    </row>
    <row r="136" spans="1:28">
      <c r="A136" s="184"/>
      <c r="B136" s="184"/>
      <c r="C136" s="184"/>
      <c r="D136" s="195"/>
      <c r="E136" s="185"/>
      <c r="F136" s="185"/>
      <c r="G136" s="185"/>
      <c r="H136" s="185"/>
      <c r="I136" s="185"/>
      <c r="J136" s="185"/>
      <c r="K136" s="185"/>
      <c r="L136" s="185"/>
      <c r="M136" s="159"/>
      <c r="N136" s="159"/>
      <c r="O136" s="186"/>
      <c r="P136" s="187"/>
      <c r="Q136" s="187"/>
      <c r="R136" s="188"/>
      <c r="S136" s="188"/>
      <c r="T136" s="159"/>
      <c r="U136" s="159"/>
      <c r="V136" s="189"/>
      <c r="W136" s="190"/>
      <c r="X136" s="191"/>
      <c r="Y136" s="186"/>
      <c r="Z136" s="192"/>
      <c r="AA136" s="193"/>
      <c r="AB136" s="194"/>
    </row>
    <row r="137" spans="1:28">
      <c r="A137" s="184"/>
      <c r="B137" s="184"/>
      <c r="C137" s="184"/>
      <c r="D137" s="195"/>
      <c r="E137" s="185"/>
      <c r="F137" s="185"/>
      <c r="G137" s="185"/>
      <c r="H137" s="185"/>
      <c r="I137" s="185"/>
      <c r="J137" s="185"/>
      <c r="K137" s="185"/>
      <c r="L137" s="185"/>
      <c r="M137" s="159"/>
      <c r="N137" s="159"/>
      <c r="O137" s="186"/>
      <c r="P137" s="187"/>
      <c r="Q137" s="187"/>
      <c r="R137" s="188"/>
      <c r="S137" s="188"/>
      <c r="T137" s="159"/>
      <c r="U137" s="159"/>
      <c r="V137" s="189"/>
      <c r="W137" s="190"/>
      <c r="X137" s="191"/>
      <c r="Y137" s="186"/>
      <c r="Z137" s="192"/>
      <c r="AA137" s="193"/>
      <c r="AB137" s="194"/>
    </row>
    <row r="138" spans="1:28">
      <c r="A138" s="184"/>
      <c r="B138" s="184"/>
      <c r="C138" s="184"/>
      <c r="D138" s="196"/>
      <c r="E138" s="185"/>
      <c r="F138" s="185"/>
      <c r="G138" s="185"/>
      <c r="H138" s="185"/>
      <c r="I138" s="185"/>
      <c r="J138" s="185"/>
      <c r="K138" s="185"/>
      <c r="L138" s="185"/>
      <c r="M138" s="159"/>
      <c r="N138" s="159"/>
      <c r="O138" s="186"/>
      <c r="P138" s="187"/>
      <c r="Q138" s="187"/>
      <c r="R138" s="188"/>
      <c r="S138" s="188"/>
      <c r="T138" s="159"/>
      <c r="U138" s="159"/>
      <c r="V138" s="189"/>
      <c r="W138" s="190"/>
      <c r="X138" s="191"/>
      <c r="Y138" s="186"/>
      <c r="Z138" s="192"/>
      <c r="AA138" s="193"/>
      <c r="AB138" s="194"/>
    </row>
    <row r="139" spans="1:28">
      <c r="A139" s="184"/>
      <c r="B139" s="184"/>
      <c r="C139" s="184"/>
      <c r="D139" s="195"/>
      <c r="E139" s="185"/>
      <c r="F139" s="185"/>
      <c r="G139" s="185"/>
      <c r="H139" s="185"/>
      <c r="I139" s="185"/>
      <c r="J139" s="185"/>
      <c r="K139" s="185"/>
      <c r="L139" s="185"/>
      <c r="M139" s="159"/>
      <c r="N139" s="159"/>
      <c r="O139" s="186"/>
      <c r="P139" s="187"/>
      <c r="Q139" s="187"/>
      <c r="R139" s="188"/>
      <c r="S139" s="188"/>
      <c r="T139" s="159"/>
      <c r="U139" s="159"/>
      <c r="V139" s="189"/>
      <c r="W139" s="190"/>
      <c r="X139" s="191"/>
      <c r="Y139" s="186"/>
      <c r="Z139" s="192"/>
      <c r="AA139" s="193"/>
      <c r="AB139" s="194"/>
    </row>
    <row r="140" spans="1:28">
      <c r="A140" s="184"/>
      <c r="B140" s="184"/>
      <c r="C140" s="184"/>
      <c r="D140" s="195"/>
      <c r="E140" s="185"/>
      <c r="F140" s="185"/>
      <c r="G140" s="185"/>
      <c r="H140" s="185"/>
      <c r="I140" s="185"/>
      <c r="J140" s="185"/>
      <c r="K140" s="185"/>
      <c r="L140" s="185"/>
      <c r="M140" s="159"/>
      <c r="N140" s="159"/>
      <c r="O140" s="186"/>
      <c r="P140" s="187"/>
      <c r="Q140" s="187"/>
      <c r="R140" s="188"/>
      <c r="S140" s="188"/>
      <c r="T140" s="159"/>
      <c r="U140" s="159"/>
      <c r="V140" s="189"/>
      <c r="W140" s="190"/>
      <c r="X140" s="191"/>
      <c r="Y140" s="186"/>
      <c r="Z140" s="192"/>
      <c r="AA140" s="193"/>
      <c r="AB140" s="194"/>
    </row>
    <row r="141" spans="1:28">
      <c r="A141" s="184"/>
      <c r="B141" s="184"/>
      <c r="C141" s="184"/>
      <c r="D141" s="195"/>
      <c r="E141" s="185"/>
      <c r="F141" s="185"/>
      <c r="G141" s="185"/>
      <c r="H141" s="185"/>
      <c r="I141" s="185"/>
      <c r="J141" s="185"/>
      <c r="K141" s="185"/>
      <c r="L141" s="185"/>
      <c r="M141" s="159"/>
      <c r="N141" s="159"/>
      <c r="O141" s="186"/>
      <c r="P141" s="187"/>
      <c r="Q141" s="187"/>
      <c r="R141" s="188"/>
      <c r="S141" s="188"/>
      <c r="T141" s="159"/>
      <c r="U141" s="159"/>
      <c r="V141" s="189"/>
      <c r="W141" s="190"/>
      <c r="X141" s="191"/>
      <c r="Y141" s="186"/>
      <c r="Z141" s="192"/>
      <c r="AA141" s="193"/>
      <c r="AB141" s="194"/>
    </row>
    <row r="142" spans="1:28">
      <c r="A142" s="184"/>
      <c r="B142" s="184"/>
      <c r="C142" s="184"/>
      <c r="D142" s="195"/>
      <c r="E142" s="185"/>
      <c r="F142" s="185"/>
      <c r="G142" s="185"/>
      <c r="H142" s="185"/>
      <c r="I142" s="185"/>
      <c r="J142" s="185"/>
      <c r="K142" s="185"/>
      <c r="L142" s="185"/>
      <c r="M142" s="159"/>
      <c r="N142" s="159"/>
      <c r="O142" s="186"/>
      <c r="P142" s="187"/>
      <c r="Q142" s="187"/>
      <c r="R142" s="188"/>
      <c r="S142" s="188"/>
      <c r="T142" s="159"/>
      <c r="U142" s="159"/>
      <c r="V142" s="189"/>
      <c r="W142" s="190"/>
      <c r="X142" s="191"/>
      <c r="Y142" s="186"/>
      <c r="Z142" s="192"/>
      <c r="AA142" s="193"/>
      <c r="AB142" s="194"/>
    </row>
    <row r="143" spans="1:28">
      <c r="A143" s="184"/>
      <c r="B143" s="184"/>
      <c r="C143" s="184"/>
      <c r="D143" s="195"/>
      <c r="E143" s="185"/>
      <c r="F143" s="185"/>
      <c r="G143" s="185"/>
      <c r="H143" s="185"/>
      <c r="I143" s="185"/>
      <c r="J143" s="185"/>
      <c r="K143" s="185"/>
      <c r="L143" s="185"/>
      <c r="M143" s="159"/>
      <c r="N143" s="159"/>
      <c r="O143" s="186"/>
      <c r="P143" s="187"/>
      <c r="Q143" s="187"/>
      <c r="R143" s="188"/>
      <c r="S143" s="188"/>
      <c r="T143" s="159"/>
      <c r="U143" s="159"/>
      <c r="V143" s="189"/>
      <c r="W143" s="190"/>
      <c r="X143" s="191"/>
      <c r="Y143" s="186"/>
      <c r="Z143" s="192"/>
      <c r="AA143" s="193"/>
      <c r="AB143" s="194"/>
    </row>
    <row r="144" spans="1:28">
      <c r="A144" s="184"/>
      <c r="B144" s="184"/>
      <c r="C144" s="184"/>
      <c r="D144" s="195"/>
      <c r="E144" s="185"/>
      <c r="F144" s="185"/>
      <c r="G144" s="185"/>
      <c r="H144" s="185"/>
      <c r="I144" s="185"/>
      <c r="J144" s="185"/>
      <c r="K144" s="185"/>
      <c r="L144" s="185"/>
      <c r="M144" s="159"/>
      <c r="N144" s="159"/>
      <c r="O144" s="186"/>
      <c r="P144" s="187"/>
      <c r="Q144" s="187"/>
      <c r="R144" s="188"/>
      <c r="S144" s="188"/>
      <c r="T144" s="159"/>
      <c r="U144" s="159"/>
      <c r="V144" s="189"/>
      <c r="W144" s="190"/>
      <c r="X144" s="191"/>
      <c r="Y144" s="186"/>
      <c r="Z144" s="192"/>
      <c r="AA144" s="193"/>
      <c r="AB144" s="194"/>
    </row>
    <row r="145" spans="1:28">
      <c r="A145" s="184"/>
      <c r="B145" s="184"/>
      <c r="C145" s="184"/>
      <c r="D145" s="195"/>
      <c r="E145" s="185"/>
      <c r="F145" s="185"/>
      <c r="G145" s="185"/>
      <c r="H145" s="185"/>
      <c r="I145" s="185"/>
      <c r="J145" s="185"/>
      <c r="K145" s="185"/>
      <c r="L145" s="185"/>
      <c r="M145" s="159"/>
      <c r="N145" s="159"/>
      <c r="O145" s="186"/>
      <c r="P145" s="187"/>
      <c r="Q145" s="187"/>
      <c r="R145" s="188"/>
      <c r="S145" s="188"/>
      <c r="T145" s="159"/>
      <c r="U145" s="159"/>
      <c r="V145" s="189"/>
      <c r="W145" s="190"/>
      <c r="X145" s="191"/>
      <c r="Y145" s="186"/>
      <c r="Z145" s="192"/>
      <c r="AA145" s="193"/>
      <c r="AB145" s="194"/>
    </row>
    <row r="146" spans="1:28">
      <c r="A146" s="184"/>
      <c r="B146" s="184"/>
      <c r="C146" s="184"/>
      <c r="D146" s="195"/>
      <c r="E146" s="185"/>
      <c r="F146" s="185"/>
      <c r="G146" s="185"/>
      <c r="H146" s="185"/>
      <c r="I146" s="185"/>
      <c r="J146" s="185"/>
      <c r="K146" s="185"/>
      <c r="L146" s="185"/>
      <c r="M146" s="159"/>
      <c r="N146" s="159"/>
      <c r="O146" s="186"/>
      <c r="P146" s="187"/>
      <c r="Q146" s="187"/>
      <c r="R146" s="188"/>
      <c r="S146" s="188"/>
      <c r="T146" s="159"/>
      <c r="U146" s="159"/>
      <c r="V146" s="189"/>
      <c r="W146" s="190"/>
      <c r="X146" s="191"/>
      <c r="Y146" s="186"/>
      <c r="Z146" s="192"/>
      <c r="AA146" s="193"/>
      <c r="AB146" s="194"/>
    </row>
    <row r="147" spans="1:28">
      <c r="A147" s="184"/>
      <c r="B147" s="184"/>
      <c r="C147" s="184"/>
      <c r="D147" s="195"/>
      <c r="E147" s="185"/>
      <c r="F147" s="185"/>
      <c r="G147" s="185"/>
      <c r="H147" s="185"/>
      <c r="I147" s="185"/>
      <c r="J147" s="185"/>
      <c r="K147" s="185"/>
      <c r="L147" s="185"/>
      <c r="M147" s="159"/>
      <c r="N147" s="159"/>
      <c r="O147" s="186"/>
      <c r="P147" s="187"/>
      <c r="Q147" s="187"/>
      <c r="R147" s="188"/>
      <c r="S147" s="188"/>
      <c r="T147" s="159"/>
      <c r="U147" s="159"/>
      <c r="V147" s="189"/>
      <c r="W147" s="190"/>
      <c r="X147" s="191"/>
      <c r="Y147" s="186"/>
      <c r="Z147" s="192"/>
      <c r="AA147" s="193"/>
      <c r="AB147" s="194"/>
    </row>
    <row r="148" spans="1:28">
      <c r="A148" s="184"/>
      <c r="B148" s="184"/>
      <c r="C148" s="184"/>
      <c r="D148" s="195"/>
      <c r="E148" s="185"/>
      <c r="F148" s="185"/>
      <c r="G148" s="185"/>
      <c r="H148" s="185"/>
      <c r="I148" s="185"/>
      <c r="J148" s="185"/>
      <c r="K148" s="185"/>
      <c r="L148" s="185"/>
      <c r="M148" s="159"/>
      <c r="N148" s="159"/>
      <c r="O148" s="186"/>
      <c r="P148" s="187"/>
      <c r="Q148" s="187"/>
      <c r="R148" s="188"/>
      <c r="S148" s="188"/>
      <c r="T148" s="159"/>
      <c r="U148" s="159"/>
      <c r="V148" s="189"/>
      <c r="W148" s="190"/>
      <c r="X148" s="191"/>
      <c r="Y148" s="186"/>
      <c r="Z148" s="192"/>
      <c r="AA148" s="193"/>
      <c r="AB148" s="194"/>
    </row>
    <row r="149" spans="1:28">
      <c r="A149" s="184"/>
      <c r="B149" s="184"/>
      <c r="C149" s="184"/>
      <c r="D149" s="195"/>
      <c r="E149" s="185"/>
      <c r="F149" s="185"/>
      <c r="G149" s="185"/>
      <c r="H149" s="185"/>
      <c r="I149" s="185"/>
      <c r="J149" s="185"/>
      <c r="K149" s="185"/>
      <c r="L149" s="185"/>
      <c r="M149" s="159"/>
      <c r="N149" s="159"/>
      <c r="O149" s="186"/>
      <c r="P149" s="187"/>
      <c r="Q149" s="187"/>
      <c r="R149" s="188"/>
      <c r="S149" s="188"/>
      <c r="T149" s="159"/>
      <c r="U149" s="159"/>
      <c r="V149" s="189"/>
      <c r="W149" s="190"/>
      <c r="X149" s="191"/>
      <c r="Y149" s="186"/>
      <c r="Z149" s="192"/>
      <c r="AA149" s="193"/>
      <c r="AB149" s="194"/>
    </row>
    <row r="150" spans="1:28">
      <c r="A150" s="184"/>
      <c r="B150" s="184"/>
      <c r="C150" s="184"/>
      <c r="D150" s="195"/>
      <c r="E150" s="185"/>
      <c r="F150" s="185"/>
      <c r="G150" s="185"/>
      <c r="H150" s="185"/>
      <c r="I150" s="185"/>
      <c r="J150" s="185"/>
      <c r="K150" s="185"/>
      <c r="L150" s="185"/>
      <c r="M150" s="159"/>
      <c r="N150" s="159"/>
      <c r="O150" s="186"/>
      <c r="P150" s="187"/>
      <c r="Q150" s="187"/>
      <c r="R150" s="188"/>
      <c r="S150" s="188"/>
      <c r="T150" s="159"/>
      <c r="U150" s="159"/>
      <c r="V150" s="189"/>
      <c r="W150" s="190"/>
      <c r="X150" s="191"/>
      <c r="Y150" s="186"/>
      <c r="Z150" s="192"/>
      <c r="AA150" s="193"/>
      <c r="AB150" s="194"/>
    </row>
    <row r="151" spans="1:28">
      <c r="A151" s="184"/>
      <c r="B151" s="184"/>
      <c r="C151" s="184"/>
      <c r="D151" s="195"/>
      <c r="E151" s="185"/>
      <c r="F151" s="185"/>
      <c r="G151" s="185"/>
      <c r="H151" s="185"/>
      <c r="I151" s="185"/>
      <c r="J151" s="185"/>
      <c r="K151" s="185"/>
      <c r="L151" s="185"/>
      <c r="M151" s="159"/>
      <c r="N151" s="159"/>
      <c r="O151" s="186"/>
      <c r="P151" s="187"/>
      <c r="Q151" s="187"/>
      <c r="R151" s="188"/>
      <c r="S151" s="188"/>
      <c r="T151" s="159"/>
      <c r="U151" s="159"/>
      <c r="V151" s="189"/>
      <c r="W151" s="190"/>
      <c r="X151" s="191"/>
      <c r="Y151" s="186"/>
      <c r="Z151" s="192"/>
      <c r="AA151" s="193"/>
      <c r="AB151" s="194"/>
    </row>
    <row r="152" spans="1:28">
      <c r="A152" s="184"/>
      <c r="B152" s="184"/>
      <c r="C152" s="184"/>
      <c r="D152" s="195"/>
      <c r="E152" s="185"/>
      <c r="F152" s="185"/>
      <c r="G152" s="185"/>
      <c r="H152" s="185"/>
      <c r="I152" s="185"/>
      <c r="J152" s="185"/>
      <c r="K152" s="185"/>
      <c r="L152" s="185"/>
      <c r="M152" s="159"/>
      <c r="N152" s="159"/>
      <c r="O152" s="186"/>
      <c r="P152" s="187"/>
      <c r="Q152" s="187"/>
      <c r="R152" s="188"/>
      <c r="S152" s="188"/>
      <c r="T152" s="159"/>
      <c r="U152" s="159"/>
      <c r="V152" s="189"/>
      <c r="W152" s="190"/>
      <c r="X152" s="191"/>
      <c r="Y152" s="186"/>
      <c r="Z152" s="192"/>
      <c r="AA152" s="193"/>
      <c r="AB152" s="194"/>
    </row>
    <row r="153" spans="1:28">
      <c r="A153" s="184"/>
      <c r="B153" s="184"/>
      <c r="C153" s="184"/>
      <c r="D153" s="195"/>
      <c r="E153" s="185"/>
      <c r="F153" s="185"/>
      <c r="G153" s="185"/>
      <c r="H153" s="185"/>
      <c r="I153" s="185"/>
      <c r="J153" s="185"/>
      <c r="K153" s="185"/>
      <c r="L153" s="185"/>
      <c r="M153" s="159"/>
      <c r="N153" s="159"/>
      <c r="O153" s="186"/>
      <c r="P153" s="187"/>
      <c r="Q153" s="187"/>
      <c r="R153" s="188"/>
      <c r="S153" s="188"/>
      <c r="T153" s="159"/>
      <c r="U153" s="159"/>
      <c r="V153" s="189"/>
      <c r="W153" s="190"/>
      <c r="X153" s="191"/>
      <c r="Y153" s="186"/>
      <c r="Z153" s="192"/>
      <c r="AA153" s="193"/>
      <c r="AB153" s="194"/>
    </row>
    <row r="154" spans="1:28">
      <c r="A154" s="184"/>
      <c r="B154" s="184"/>
      <c r="C154" s="184"/>
      <c r="D154" s="195"/>
      <c r="E154" s="185"/>
      <c r="F154" s="185"/>
      <c r="G154" s="185"/>
      <c r="H154" s="185"/>
      <c r="I154" s="185"/>
      <c r="J154" s="185"/>
      <c r="K154" s="185"/>
      <c r="L154" s="185"/>
      <c r="M154" s="159"/>
      <c r="N154" s="159"/>
      <c r="O154" s="186"/>
      <c r="P154" s="187"/>
      <c r="Q154" s="187"/>
      <c r="R154" s="188"/>
      <c r="S154" s="188"/>
      <c r="T154" s="159"/>
      <c r="U154" s="159"/>
      <c r="V154" s="189"/>
      <c r="W154" s="190"/>
      <c r="X154" s="191"/>
      <c r="Y154" s="186"/>
      <c r="Z154" s="192"/>
      <c r="AA154" s="193"/>
      <c r="AB154" s="194"/>
    </row>
    <row r="155" spans="1:28">
      <c r="A155" s="184"/>
      <c r="B155" s="184"/>
      <c r="C155" s="184"/>
      <c r="D155" s="195"/>
      <c r="E155" s="185"/>
      <c r="F155" s="185"/>
      <c r="G155" s="185"/>
      <c r="H155" s="185"/>
      <c r="I155" s="185"/>
      <c r="J155" s="185"/>
      <c r="K155" s="185"/>
      <c r="L155" s="185"/>
      <c r="M155" s="159"/>
      <c r="N155" s="159"/>
      <c r="O155" s="186"/>
      <c r="P155" s="187"/>
      <c r="Q155" s="187"/>
      <c r="R155" s="188"/>
      <c r="S155" s="188"/>
      <c r="T155" s="159"/>
      <c r="U155" s="159"/>
      <c r="V155" s="189"/>
      <c r="W155" s="190"/>
      <c r="X155" s="191"/>
      <c r="Y155" s="186"/>
      <c r="Z155" s="192"/>
      <c r="AA155" s="193"/>
      <c r="AB155" s="194"/>
    </row>
    <row r="156" spans="1:28">
      <c r="A156" s="184"/>
      <c r="B156" s="184"/>
      <c r="C156" s="184"/>
      <c r="D156" s="195"/>
      <c r="E156" s="185"/>
      <c r="F156" s="185"/>
      <c r="G156" s="185"/>
      <c r="H156" s="185"/>
      <c r="I156" s="185"/>
      <c r="J156" s="185"/>
      <c r="K156" s="185"/>
      <c r="L156" s="185"/>
      <c r="M156" s="159"/>
      <c r="N156" s="159"/>
      <c r="O156" s="186"/>
      <c r="P156" s="187"/>
      <c r="Q156" s="187"/>
      <c r="R156" s="188"/>
      <c r="S156" s="188"/>
      <c r="T156" s="159"/>
      <c r="U156" s="159"/>
      <c r="V156" s="189"/>
      <c r="W156" s="190"/>
      <c r="X156" s="191"/>
      <c r="Y156" s="186"/>
      <c r="Z156" s="192"/>
      <c r="AA156" s="193"/>
      <c r="AB156" s="194"/>
    </row>
    <row r="157" spans="1:28">
      <c r="A157" s="184"/>
      <c r="B157" s="184"/>
      <c r="C157" s="184"/>
      <c r="D157" s="195"/>
      <c r="E157" s="185"/>
      <c r="F157" s="185"/>
      <c r="G157" s="185"/>
      <c r="H157" s="185"/>
      <c r="I157" s="185"/>
      <c r="J157" s="185"/>
      <c r="K157" s="185"/>
      <c r="L157" s="185"/>
      <c r="M157" s="159"/>
      <c r="N157" s="159"/>
      <c r="O157" s="186"/>
      <c r="P157" s="187"/>
      <c r="Q157" s="187"/>
      <c r="R157" s="188"/>
      <c r="S157" s="188"/>
      <c r="T157" s="159"/>
      <c r="U157" s="159"/>
      <c r="V157" s="189"/>
      <c r="W157" s="190"/>
      <c r="X157" s="191"/>
      <c r="Y157" s="186"/>
      <c r="Z157" s="192"/>
      <c r="AA157" s="193"/>
      <c r="AB157" s="194"/>
    </row>
    <row r="158" spans="1:28">
      <c r="A158" s="184"/>
      <c r="B158" s="184"/>
      <c r="C158" s="184"/>
      <c r="D158" s="195"/>
      <c r="E158" s="185"/>
      <c r="F158" s="185"/>
      <c r="G158" s="185"/>
      <c r="H158" s="185"/>
      <c r="I158" s="185"/>
      <c r="J158" s="185"/>
      <c r="K158" s="185"/>
      <c r="L158" s="185"/>
      <c r="M158" s="159"/>
      <c r="N158" s="159"/>
      <c r="O158" s="186"/>
      <c r="P158" s="187"/>
      <c r="Q158" s="187"/>
      <c r="R158" s="188"/>
      <c r="S158" s="188"/>
      <c r="T158" s="159"/>
      <c r="U158" s="159"/>
      <c r="V158" s="189"/>
      <c r="W158" s="190"/>
      <c r="X158" s="191"/>
      <c r="Y158" s="186"/>
      <c r="Z158" s="192"/>
      <c r="AA158" s="193"/>
      <c r="AB158" s="194"/>
    </row>
    <row r="159" spans="1:28">
      <c r="A159" s="184"/>
      <c r="B159" s="184"/>
      <c r="C159" s="184"/>
      <c r="D159" s="195"/>
      <c r="E159" s="185"/>
      <c r="F159" s="185"/>
      <c r="G159" s="185"/>
      <c r="H159" s="185"/>
      <c r="I159" s="185"/>
      <c r="J159" s="185"/>
      <c r="K159" s="185"/>
      <c r="L159" s="185"/>
      <c r="M159" s="159"/>
      <c r="N159" s="159"/>
      <c r="O159" s="186"/>
      <c r="P159" s="187"/>
      <c r="Q159" s="187"/>
      <c r="R159" s="188"/>
      <c r="S159" s="188"/>
      <c r="T159" s="159"/>
      <c r="U159" s="159"/>
      <c r="V159" s="189"/>
      <c r="W159" s="190"/>
      <c r="X159" s="191"/>
      <c r="Y159" s="186"/>
      <c r="Z159" s="192"/>
      <c r="AA159" s="193"/>
      <c r="AB159" s="194"/>
    </row>
    <row r="160" spans="1:28">
      <c r="A160" s="184"/>
      <c r="B160" s="184"/>
      <c r="C160" s="184"/>
      <c r="D160" s="195"/>
      <c r="E160" s="185"/>
      <c r="F160" s="185"/>
      <c r="G160" s="185"/>
      <c r="H160" s="185"/>
      <c r="I160" s="185"/>
      <c r="J160" s="185"/>
      <c r="K160" s="185"/>
      <c r="L160" s="185"/>
      <c r="M160" s="159"/>
      <c r="N160" s="159"/>
      <c r="O160" s="186"/>
      <c r="P160" s="187"/>
      <c r="Q160" s="187"/>
      <c r="R160" s="188"/>
      <c r="S160" s="188"/>
      <c r="T160" s="159"/>
      <c r="U160" s="159"/>
      <c r="V160" s="189"/>
      <c r="W160" s="190"/>
      <c r="X160" s="191"/>
      <c r="Y160" s="186"/>
      <c r="Z160" s="192"/>
      <c r="AA160" s="193"/>
      <c r="AB160" s="194"/>
    </row>
    <row r="161" spans="1:28">
      <c r="A161" s="184"/>
      <c r="B161" s="184"/>
      <c r="C161" s="184"/>
      <c r="D161" s="195"/>
      <c r="E161" s="185"/>
      <c r="F161" s="185"/>
      <c r="G161" s="185"/>
      <c r="H161" s="185"/>
      <c r="I161" s="185"/>
      <c r="J161" s="185"/>
      <c r="K161" s="185"/>
      <c r="L161" s="185"/>
      <c r="M161" s="159"/>
      <c r="N161" s="159"/>
      <c r="O161" s="186"/>
      <c r="P161" s="187"/>
      <c r="Q161" s="187"/>
      <c r="R161" s="188"/>
      <c r="S161" s="188"/>
      <c r="T161" s="159"/>
      <c r="U161" s="159"/>
      <c r="V161" s="189"/>
      <c r="W161" s="190"/>
      <c r="X161" s="191"/>
      <c r="Y161" s="186"/>
      <c r="Z161" s="192"/>
      <c r="AA161" s="193"/>
      <c r="AB161" s="194"/>
    </row>
    <row r="162" spans="1:28">
      <c r="A162" s="184"/>
      <c r="B162" s="184"/>
      <c r="C162" s="184"/>
      <c r="D162" s="195"/>
      <c r="E162" s="185"/>
      <c r="F162" s="185"/>
      <c r="G162" s="185"/>
      <c r="H162" s="185"/>
      <c r="I162" s="185"/>
      <c r="J162" s="185"/>
      <c r="K162" s="185"/>
      <c r="L162" s="185"/>
      <c r="M162" s="159"/>
      <c r="N162" s="159"/>
      <c r="O162" s="186"/>
      <c r="P162" s="187"/>
      <c r="Q162" s="187"/>
      <c r="R162" s="188"/>
      <c r="S162" s="188"/>
      <c r="T162" s="159"/>
      <c r="U162" s="159"/>
      <c r="V162" s="189"/>
      <c r="W162" s="190"/>
      <c r="X162" s="191"/>
      <c r="Y162" s="186"/>
      <c r="Z162" s="192"/>
      <c r="AA162" s="193"/>
      <c r="AB162" s="194"/>
    </row>
    <row r="163" spans="1:28">
      <c r="A163" s="184"/>
      <c r="B163" s="184"/>
      <c r="C163" s="184"/>
      <c r="D163" s="195"/>
      <c r="E163" s="185"/>
      <c r="F163" s="185"/>
      <c r="G163" s="185"/>
      <c r="H163" s="185"/>
      <c r="I163" s="185"/>
      <c r="J163" s="185"/>
      <c r="K163" s="185"/>
      <c r="L163" s="185"/>
      <c r="M163" s="159"/>
      <c r="N163" s="159"/>
      <c r="O163" s="186"/>
      <c r="P163" s="187"/>
      <c r="Q163" s="187"/>
      <c r="R163" s="188"/>
      <c r="S163" s="188"/>
      <c r="T163" s="159"/>
      <c r="U163" s="159"/>
      <c r="V163" s="189"/>
      <c r="W163" s="190"/>
      <c r="X163" s="191"/>
      <c r="Y163" s="186"/>
      <c r="Z163" s="192"/>
      <c r="AA163" s="193"/>
      <c r="AB163" s="194"/>
    </row>
    <row r="164" spans="1:28">
      <c r="A164" s="184"/>
      <c r="B164" s="184"/>
      <c r="C164" s="184"/>
      <c r="D164" s="195"/>
      <c r="E164" s="185"/>
      <c r="F164" s="185"/>
      <c r="G164" s="185"/>
      <c r="H164" s="185"/>
      <c r="I164" s="185"/>
      <c r="J164" s="185"/>
      <c r="K164" s="185"/>
      <c r="L164" s="185"/>
      <c r="M164" s="159"/>
      <c r="N164" s="159"/>
      <c r="O164" s="186"/>
      <c r="P164" s="187"/>
      <c r="Q164" s="187"/>
      <c r="R164" s="188"/>
      <c r="S164" s="188"/>
      <c r="T164" s="159"/>
      <c r="U164" s="159"/>
      <c r="V164" s="189"/>
      <c r="W164" s="190"/>
      <c r="X164" s="191"/>
      <c r="Y164" s="186"/>
      <c r="Z164" s="192"/>
      <c r="AA164" s="193"/>
      <c r="AB164" s="194"/>
    </row>
    <row r="165" spans="1:28">
      <c r="A165" s="184"/>
      <c r="B165" s="184"/>
      <c r="C165" s="184"/>
      <c r="D165" s="195"/>
      <c r="E165" s="185"/>
      <c r="F165" s="185"/>
      <c r="G165" s="185"/>
      <c r="H165" s="185"/>
      <c r="I165" s="185"/>
      <c r="J165" s="185"/>
      <c r="K165" s="185"/>
      <c r="L165" s="185"/>
      <c r="M165" s="159"/>
      <c r="N165" s="159"/>
      <c r="O165" s="186"/>
      <c r="P165" s="187"/>
      <c r="Q165" s="187"/>
      <c r="R165" s="188"/>
      <c r="S165" s="188"/>
      <c r="T165" s="159"/>
      <c r="U165" s="159"/>
      <c r="V165" s="189"/>
      <c r="W165" s="190"/>
      <c r="X165" s="191"/>
      <c r="Y165" s="186"/>
      <c r="Z165" s="192"/>
      <c r="AA165" s="193"/>
      <c r="AB165" s="194"/>
    </row>
    <row r="166" spans="1:28">
      <c r="A166" s="184"/>
      <c r="B166" s="184"/>
      <c r="C166" s="184"/>
      <c r="D166" s="195"/>
      <c r="E166" s="185"/>
      <c r="F166" s="185"/>
      <c r="G166" s="185"/>
      <c r="H166" s="185"/>
      <c r="I166" s="185"/>
      <c r="J166" s="185"/>
      <c r="K166" s="185"/>
      <c r="L166" s="185"/>
      <c r="M166" s="159"/>
      <c r="N166" s="159"/>
      <c r="O166" s="186"/>
      <c r="P166" s="187"/>
      <c r="Q166" s="187"/>
      <c r="R166" s="188"/>
      <c r="S166" s="188"/>
      <c r="T166" s="159"/>
      <c r="U166" s="159"/>
      <c r="V166" s="189"/>
      <c r="W166" s="190"/>
      <c r="X166" s="191"/>
      <c r="Y166" s="186"/>
      <c r="Z166" s="192"/>
      <c r="AA166" s="193"/>
      <c r="AB166" s="194"/>
    </row>
    <row r="167" spans="1:28">
      <c r="A167" s="184"/>
      <c r="B167" s="184"/>
      <c r="C167" s="184"/>
      <c r="D167" s="195"/>
      <c r="E167" s="185"/>
      <c r="F167" s="185"/>
      <c r="G167" s="185"/>
      <c r="H167" s="185"/>
      <c r="I167" s="185"/>
      <c r="J167" s="185"/>
      <c r="K167" s="185"/>
      <c r="L167" s="185"/>
      <c r="M167" s="159"/>
      <c r="N167" s="159"/>
      <c r="O167" s="186"/>
      <c r="P167" s="187"/>
      <c r="Q167" s="187"/>
      <c r="R167" s="188"/>
      <c r="S167" s="188"/>
      <c r="T167" s="159"/>
      <c r="U167" s="159"/>
      <c r="V167" s="189"/>
      <c r="W167" s="190"/>
      <c r="X167" s="191"/>
      <c r="Y167" s="186"/>
      <c r="Z167" s="192"/>
      <c r="AA167" s="193"/>
      <c r="AB167" s="194"/>
    </row>
    <row r="168" spans="1:28">
      <c r="A168" s="184"/>
      <c r="B168" s="184"/>
      <c r="C168" s="184"/>
      <c r="D168" s="195"/>
      <c r="E168" s="185"/>
      <c r="F168" s="185"/>
      <c r="G168" s="185"/>
      <c r="H168" s="185"/>
      <c r="I168" s="185"/>
      <c r="J168" s="185"/>
      <c r="K168" s="185"/>
      <c r="L168" s="185"/>
      <c r="M168" s="159"/>
      <c r="N168" s="159"/>
      <c r="O168" s="186"/>
      <c r="P168" s="187"/>
      <c r="Q168" s="187"/>
      <c r="R168" s="188"/>
      <c r="S168" s="188"/>
      <c r="T168" s="159"/>
      <c r="U168" s="159"/>
      <c r="V168" s="189"/>
      <c r="W168" s="190"/>
      <c r="X168" s="191"/>
      <c r="Y168" s="186"/>
      <c r="Z168" s="192"/>
      <c r="AA168" s="193"/>
      <c r="AB168" s="194"/>
    </row>
    <row r="169" spans="1:28">
      <c r="A169" s="184"/>
      <c r="B169" s="184"/>
      <c r="C169" s="184"/>
      <c r="D169" s="195"/>
      <c r="E169" s="185"/>
      <c r="F169" s="185"/>
      <c r="G169" s="185"/>
      <c r="H169" s="185"/>
      <c r="I169" s="185"/>
      <c r="J169" s="185"/>
      <c r="K169" s="185"/>
      <c r="L169" s="185"/>
      <c r="M169" s="159"/>
      <c r="N169" s="159"/>
      <c r="O169" s="186"/>
      <c r="P169" s="187"/>
      <c r="Q169" s="187"/>
      <c r="R169" s="188"/>
      <c r="S169" s="188"/>
      <c r="T169" s="159"/>
      <c r="U169" s="159"/>
      <c r="V169" s="189"/>
      <c r="W169" s="190"/>
      <c r="X169" s="191"/>
      <c r="Y169" s="186"/>
      <c r="Z169" s="192"/>
      <c r="AA169" s="193"/>
      <c r="AB169" s="194"/>
    </row>
    <row r="170" spans="1:28">
      <c r="A170" s="184"/>
      <c r="B170" s="184"/>
      <c r="C170" s="184"/>
      <c r="D170" s="195"/>
      <c r="E170" s="185"/>
      <c r="F170" s="185"/>
      <c r="G170" s="185"/>
      <c r="H170" s="185"/>
      <c r="I170" s="185"/>
      <c r="J170" s="185"/>
      <c r="K170" s="185"/>
      <c r="L170" s="185"/>
      <c r="M170" s="159"/>
      <c r="N170" s="159"/>
      <c r="O170" s="186"/>
      <c r="P170" s="187"/>
      <c r="Q170" s="187"/>
      <c r="R170" s="188"/>
      <c r="S170" s="188"/>
      <c r="T170" s="159"/>
      <c r="U170" s="159"/>
      <c r="V170" s="189"/>
      <c r="W170" s="190"/>
      <c r="X170" s="191"/>
      <c r="Y170" s="186"/>
      <c r="Z170" s="192"/>
      <c r="AA170" s="193"/>
      <c r="AB170" s="194"/>
    </row>
    <row r="171" spans="1:28">
      <c r="A171" s="184"/>
      <c r="B171" s="184"/>
      <c r="C171" s="184"/>
      <c r="D171" s="195"/>
      <c r="E171" s="185"/>
      <c r="F171" s="185"/>
      <c r="G171" s="185"/>
      <c r="H171" s="185"/>
      <c r="I171" s="185"/>
      <c r="J171" s="185"/>
      <c r="K171" s="185"/>
      <c r="L171" s="185"/>
      <c r="M171" s="159"/>
      <c r="N171" s="159"/>
      <c r="O171" s="186"/>
      <c r="P171" s="187"/>
      <c r="Q171" s="187"/>
      <c r="R171" s="188"/>
      <c r="S171" s="188"/>
      <c r="T171" s="159"/>
      <c r="U171" s="159"/>
      <c r="V171" s="189"/>
      <c r="W171" s="190"/>
      <c r="X171" s="191"/>
      <c r="Y171" s="186"/>
      <c r="Z171" s="192"/>
      <c r="AA171" s="193"/>
      <c r="AB171" s="194"/>
    </row>
    <row r="172" spans="1:28">
      <c r="A172" s="184"/>
      <c r="B172" s="184"/>
      <c r="C172" s="184"/>
      <c r="D172" s="195"/>
      <c r="E172" s="185"/>
      <c r="F172" s="185"/>
      <c r="G172" s="185"/>
      <c r="H172" s="185"/>
      <c r="I172" s="185"/>
      <c r="J172" s="185"/>
      <c r="K172" s="185"/>
      <c r="L172" s="185"/>
      <c r="M172" s="159"/>
      <c r="N172" s="159"/>
      <c r="O172" s="186"/>
      <c r="P172" s="187"/>
      <c r="Q172" s="187"/>
      <c r="R172" s="188"/>
      <c r="S172" s="188"/>
      <c r="T172" s="159"/>
      <c r="U172" s="159"/>
      <c r="V172" s="189"/>
      <c r="W172" s="190"/>
      <c r="X172" s="191"/>
      <c r="Y172" s="186"/>
      <c r="Z172" s="192"/>
      <c r="AA172" s="193"/>
      <c r="AB172" s="194"/>
    </row>
    <row r="173" spans="1:28">
      <c r="A173" s="184"/>
      <c r="B173" s="184"/>
      <c r="C173" s="184"/>
      <c r="D173" s="195"/>
      <c r="E173" s="185"/>
      <c r="F173" s="185"/>
      <c r="G173" s="185"/>
      <c r="H173" s="185"/>
      <c r="I173" s="185"/>
      <c r="J173" s="185"/>
      <c r="K173" s="185"/>
      <c r="L173" s="185"/>
      <c r="M173" s="159"/>
      <c r="N173" s="159"/>
      <c r="O173" s="186"/>
      <c r="P173" s="187"/>
      <c r="Q173" s="187"/>
      <c r="R173" s="188"/>
      <c r="S173" s="188"/>
      <c r="T173" s="159"/>
      <c r="U173" s="159"/>
      <c r="V173" s="189"/>
      <c r="W173" s="190"/>
      <c r="X173" s="191"/>
      <c r="Y173" s="186"/>
      <c r="Z173" s="192"/>
      <c r="AA173" s="193"/>
      <c r="AB173" s="194"/>
    </row>
    <row r="174" spans="1:28">
      <c r="A174" s="184"/>
      <c r="B174" s="184"/>
      <c r="C174" s="184"/>
      <c r="D174" s="195"/>
      <c r="E174" s="185"/>
      <c r="F174" s="185"/>
      <c r="G174" s="185"/>
      <c r="H174" s="185"/>
      <c r="I174" s="185"/>
      <c r="J174" s="185"/>
      <c r="K174" s="185"/>
      <c r="L174" s="185"/>
      <c r="M174" s="159"/>
      <c r="N174" s="159"/>
      <c r="O174" s="186"/>
      <c r="P174" s="187"/>
      <c r="Q174" s="187"/>
      <c r="R174" s="188"/>
      <c r="S174" s="188"/>
      <c r="T174" s="159"/>
      <c r="U174" s="159"/>
      <c r="V174" s="189"/>
      <c r="W174" s="190"/>
      <c r="X174" s="191"/>
      <c r="Y174" s="186"/>
      <c r="Z174" s="192"/>
      <c r="AA174" s="193"/>
      <c r="AB174" s="194"/>
    </row>
    <row r="175" spans="1:28">
      <c r="A175" s="184"/>
      <c r="B175" s="184"/>
      <c r="C175" s="184"/>
      <c r="D175" s="195"/>
      <c r="E175" s="185"/>
      <c r="F175" s="185"/>
      <c r="G175" s="185"/>
      <c r="H175" s="185"/>
      <c r="I175" s="185"/>
      <c r="J175" s="185"/>
      <c r="K175" s="185"/>
      <c r="L175" s="185"/>
      <c r="M175" s="159"/>
      <c r="N175" s="159"/>
      <c r="O175" s="186"/>
      <c r="P175" s="187"/>
      <c r="Q175" s="187"/>
      <c r="R175" s="188"/>
      <c r="S175" s="188"/>
      <c r="T175" s="159"/>
      <c r="U175" s="159"/>
      <c r="V175" s="189"/>
      <c r="W175" s="190"/>
      <c r="X175" s="191"/>
      <c r="Y175" s="186"/>
      <c r="Z175" s="192"/>
      <c r="AA175" s="193"/>
      <c r="AB175" s="194"/>
    </row>
    <row r="176" spans="1:28">
      <c r="A176" s="184"/>
      <c r="B176" s="184"/>
      <c r="C176" s="184"/>
      <c r="D176" s="195"/>
      <c r="E176" s="185"/>
      <c r="F176" s="185"/>
      <c r="G176" s="185"/>
      <c r="H176" s="185"/>
      <c r="I176" s="185"/>
      <c r="J176" s="185"/>
      <c r="K176" s="185"/>
      <c r="L176" s="185"/>
      <c r="M176" s="159"/>
      <c r="N176" s="159"/>
      <c r="O176" s="186"/>
      <c r="P176" s="187"/>
      <c r="Q176" s="187"/>
      <c r="R176" s="188"/>
      <c r="S176" s="188"/>
      <c r="T176" s="159"/>
      <c r="U176" s="159"/>
      <c r="V176" s="189"/>
      <c r="W176" s="190"/>
      <c r="X176" s="191"/>
      <c r="Y176" s="186"/>
      <c r="Z176" s="192"/>
      <c r="AA176" s="193"/>
      <c r="AB176" s="194"/>
    </row>
    <row r="177" spans="1:28">
      <c r="A177" s="184"/>
      <c r="B177" s="184"/>
      <c r="C177" s="184"/>
      <c r="D177" s="195"/>
      <c r="E177" s="185"/>
      <c r="F177" s="185"/>
      <c r="G177" s="185"/>
      <c r="H177" s="185"/>
      <c r="I177" s="185"/>
      <c r="J177" s="185"/>
      <c r="K177" s="185"/>
      <c r="L177" s="185"/>
      <c r="M177" s="159"/>
      <c r="N177" s="159"/>
      <c r="O177" s="186"/>
      <c r="P177" s="187"/>
      <c r="Q177" s="187"/>
      <c r="R177" s="188"/>
      <c r="S177" s="188"/>
      <c r="T177" s="159"/>
      <c r="U177" s="159"/>
      <c r="V177" s="189"/>
      <c r="W177" s="190"/>
      <c r="X177" s="191"/>
      <c r="Y177" s="186"/>
      <c r="Z177" s="192"/>
      <c r="AA177" s="193"/>
      <c r="AB177" s="194"/>
    </row>
    <row r="178" spans="1:28">
      <c r="A178" s="184"/>
      <c r="B178" s="184"/>
      <c r="C178" s="184"/>
      <c r="D178" s="195"/>
      <c r="E178" s="185"/>
      <c r="F178" s="185"/>
      <c r="G178" s="185"/>
      <c r="H178" s="185"/>
      <c r="I178" s="185"/>
      <c r="J178" s="185"/>
      <c r="K178" s="185"/>
      <c r="L178" s="185"/>
      <c r="M178" s="159"/>
      <c r="N178" s="159"/>
      <c r="O178" s="186"/>
      <c r="P178" s="187"/>
      <c r="Q178" s="187"/>
      <c r="R178" s="188"/>
      <c r="S178" s="188"/>
      <c r="T178" s="159"/>
      <c r="U178" s="159"/>
      <c r="V178" s="189"/>
      <c r="W178" s="190"/>
      <c r="X178" s="191"/>
      <c r="Y178" s="186"/>
      <c r="Z178" s="192"/>
      <c r="AA178" s="193"/>
      <c r="AB178" s="194"/>
    </row>
    <row r="179" spans="1:28">
      <c r="A179" s="171"/>
      <c r="B179" s="171"/>
      <c r="C179" s="171"/>
      <c r="D179" s="172"/>
      <c r="E179" s="173"/>
      <c r="F179" s="173"/>
      <c r="G179" s="173"/>
      <c r="H179" s="173"/>
      <c r="I179" s="173"/>
      <c r="J179" s="173"/>
      <c r="K179" s="173"/>
      <c r="L179" s="173"/>
      <c r="M179" s="174"/>
      <c r="N179" s="174"/>
      <c r="O179" s="175"/>
      <c r="P179" s="176"/>
      <c r="Q179" s="176"/>
      <c r="R179" s="177"/>
      <c r="S179" s="177"/>
      <c r="T179" s="174"/>
      <c r="U179" s="174"/>
      <c r="V179" s="178"/>
      <c r="W179" s="179"/>
      <c r="X179" s="180"/>
      <c r="Y179" s="175"/>
      <c r="Z179" s="181"/>
      <c r="AA179" s="182"/>
      <c r="AB179" s="183"/>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48">
    <mergeCell ref="FF3:FL3"/>
    <mergeCell ref="FM3:FS3"/>
    <mergeCell ref="FT3:FZ3"/>
    <mergeCell ref="GA3:GG3"/>
    <mergeCell ref="GH3:GN3"/>
    <mergeCell ref="DW3:EC3"/>
    <mergeCell ref="ED3:EJ3"/>
    <mergeCell ref="EK3:EQ3"/>
    <mergeCell ref="ER3:EX3"/>
    <mergeCell ref="EY3:FE3"/>
    <mergeCell ref="DB3:DH3"/>
    <mergeCell ref="BL3:BR3"/>
    <mergeCell ref="BS3:BY3"/>
    <mergeCell ref="AC3:AI3"/>
    <mergeCell ref="AJ3:AP3"/>
    <mergeCell ref="AQ3:AW3"/>
    <mergeCell ref="AX3:BD3"/>
    <mergeCell ref="BE3:BK3"/>
    <mergeCell ref="BZ3:CF3"/>
    <mergeCell ref="CG3:CM3"/>
    <mergeCell ref="CN3:CT3"/>
    <mergeCell ref="CU3:DA3"/>
    <mergeCell ref="U3:U4"/>
    <mergeCell ref="V3:V4"/>
    <mergeCell ref="X3:X4"/>
    <mergeCell ref="Z3:Z4"/>
    <mergeCell ref="S3:S4"/>
    <mergeCell ref="T3:T4"/>
    <mergeCell ref="L3:L4"/>
    <mergeCell ref="M3:M4"/>
    <mergeCell ref="N3:N4"/>
    <mergeCell ref="R3:R4"/>
    <mergeCell ref="DI3:DO3"/>
    <mergeCell ref="DP3:DV3"/>
    <mergeCell ref="AC1:CA1"/>
    <mergeCell ref="A3:A4"/>
    <mergeCell ref="B3:B4"/>
    <mergeCell ref="C3:C4"/>
    <mergeCell ref="D3:D4"/>
    <mergeCell ref="E3:K4"/>
    <mergeCell ref="AA3:AA4"/>
    <mergeCell ref="Y3:Y4"/>
    <mergeCell ref="AB3:AB4"/>
    <mergeCell ref="D2:F2"/>
    <mergeCell ref="W3:W4"/>
    <mergeCell ref="O3:O4"/>
    <mergeCell ref="P3:P4"/>
    <mergeCell ref="Q3:Q4"/>
  </mergeCells>
  <phoneticPr fontId="1" type="noConversion"/>
  <conditionalFormatting sqref="AC5:GN32">
    <cfRule type="expression" dxfId="13" priority="14" stopIfTrue="1">
      <formula>COUNTIF(STD_CAL,AC$4)&gt;0</formula>
    </cfRule>
    <cfRule type="expression" dxfId="12" priority="13" stopIfTrue="1">
      <formula>AND(AC$4&gt;= $M5,AC$4&lt;=$N5)</formula>
    </cfRule>
    <cfRule type="expression" dxfId="11" priority="12">
      <formula>AND(AC$4&gt;= $M5,AC$4&lt;=$N5, $B5="G")</formula>
    </cfRule>
    <cfRule type="expression" dxfId="10" priority="11">
      <formula>AC$4=TODAY()</formula>
    </cfRule>
  </conditionalFormatting>
  <conditionalFormatting sqref="D5:AB32">
    <cfRule type="expression" dxfId="0" priority="1">
      <formula>($B5="G")</formula>
    </cfRule>
  </conditionalFormatting>
  <hyperlinks>
    <hyperlink ref="AC1:CA1" r:id="rId7" display="http://xlworks.net/"/>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3984375" style="114" customWidth="1"/>
    <col min="2" max="2" width="10.3984375" style="112" bestFit="1" customWidth="1"/>
    <col min="3" max="3" width="8.796875" style="115" customWidth="1"/>
    <col min="4" max="4" width="27.8984375" style="115" customWidth="1"/>
    <col min="5" max="6" width="12.59765625" style="115" customWidth="1"/>
    <col min="7" max="7" width="25.19921875" style="115" customWidth="1"/>
    <col min="8" max="9" width="8.8984375" style="115"/>
    <col min="10" max="10" width="7.8984375" style="115" bestFit="1" customWidth="1"/>
    <col min="11" max="19" width="8.8984375" style="115"/>
    <col min="20" max="22" width="8.8984375" style="115" customWidth="1"/>
    <col min="23" max="23" width="8.8984375" style="115" hidden="1" customWidth="1"/>
    <col min="24" max="16384" width="8.8984375" style="115"/>
  </cols>
  <sheetData>
    <row r="1" spans="1:17" s="118" customFormat="1" ht="36.9" customHeight="1">
      <c r="A1" s="147" t="s">
        <v>1102</v>
      </c>
      <c r="B1" s="148"/>
      <c r="C1" s="148"/>
      <c r="D1" s="148"/>
      <c r="E1" s="148"/>
      <c r="F1" s="148"/>
      <c r="G1" s="148"/>
      <c r="H1" s="148"/>
      <c r="I1" s="148"/>
      <c r="J1" s="148"/>
      <c r="K1" s="148"/>
      <c r="L1" s="255"/>
      <c r="M1" s="256"/>
      <c r="N1" s="256"/>
      <c r="O1" s="117"/>
      <c r="P1" s="117"/>
      <c r="Q1" s="117"/>
    </row>
    <row r="2" spans="1:17" s="71" customFormat="1" ht="13.8">
      <c r="A2" s="157" t="s">
        <v>1005</v>
      </c>
      <c r="B2" s="70"/>
    </row>
    <row r="3" spans="1:17" s="71" customFormat="1" ht="13.8">
      <c r="A3" s="157" t="s">
        <v>1006</v>
      </c>
      <c r="B3" s="70"/>
    </row>
    <row r="4" spans="1:17" s="71" customFormat="1" ht="13.8">
      <c r="A4" s="257"/>
      <c r="B4" s="257"/>
      <c r="C4" s="72"/>
      <c r="D4" s="73"/>
      <c r="E4" s="73"/>
      <c r="F4" s="73"/>
    </row>
    <row r="5" spans="1:17" s="77" customFormat="1" ht="13.8">
      <c r="A5" s="74"/>
      <c r="B5" s="75"/>
      <c r="C5" s="76"/>
      <c r="D5" s="123"/>
      <c r="E5" s="124"/>
      <c r="F5" s="124"/>
      <c r="G5" s="124"/>
    </row>
    <row r="6" spans="1:17" s="77" customFormat="1" ht="13.8">
      <c r="A6" s="78" t="s">
        <v>1007</v>
      </c>
      <c r="B6" s="79">
        <v>146</v>
      </c>
      <c r="C6" s="77" t="s">
        <v>187</v>
      </c>
      <c r="D6" s="254" t="s">
        <v>1008</v>
      </c>
      <c r="E6" s="254"/>
      <c r="F6" s="254"/>
      <c r="G6" s="254"/>
    </row>
    <row r="7" spans="1:17" s="77" customFormat="1" ht="13.8">
      <c r="A7" s="80"/>
      <c r="B7" s="81"/>
      <c r="C7" s="82"/>
      <c r="D7" s="125"/>
      <c r="E7" s="125"/>
      <c r="F7" s="125"/>
      <c r="G7" s="125"/>
    </row>
    <row r="8" spans="1:17" s="77" customFormat="1" ht="12.75" customHeight="1">
      <c r="A8" s="83"/>
      <c r="B8" s="84"/>
      <c r="D8" s="126"/>
      <c r="E8" s="126"/>
      <c r="F8" s="126"/>
      <c r="G8" s="126"/>
      <c r="J8" s="85"/>
    </row>
    <row r="9" spans="1:17" s="77" customFormat="1" ht="13.8">
      <c r="A9" s="78" t="s">
        <v>1009</v>
      </c>
      <c r="B9" s="79">
        <v>99</v>
      </c>
      <c r="C9" s="77" t="s">
        <v>187</v>
      </c>
      <c r="D9" s="253" t="s">
        <v>1010</v>
      </c>
      <c r="E9" s="253"/>
      <c r="F9" s="253"/>
      <c r="G9" s="253"/>
    </row>
    <row r="10" spans="1:17" s="77" customFormat="1" ht="13.8">
      <c r="A10" s="86"/>
      <c r="B10" s="81"/>
      <c r="C10" s="82"/>
      <c r="D10" s="127"/>
      <c r="E10" s="127"/>
      <c r="F10" s="127"/>
      <c r="G10" s="127"/>
    </row>
    <row r="11" spans="1:17" s="77" customFormat="1" ht="13.5" customHeight="1">
      <c r="A11" s="87"/>
      <c r="B11" s="84"/>
      <c r="D11" s="126"/>
      <c r="E11" s="126"/>
      <c r="F11" s="126"/>
      <c r="G11" s="126"/>
    </row>
    <row r="12" spans="1:17" s="77" customFormat="1" ht="12.75" customHeight="1">
      <c r="A12" s="88" t="s">
        <v>1103</v>
      </c>
      <c r="B12" s="79">
        <v>120.95</v>
      </c>
      <c r="C12" s="77" t="s">
        <v>187</v>
      </c>
      <c r="D12" s="253" t="s">
        <v>1104</v>
      </c>
      <c r="E12" s="253"/>
      <c r="F12" s="253"/>
      <c r="G12" s="253"/>
    </row>
    <row r="13" spans="1:17" s="91" customFormat="1" ht="13.8">
      <c r="A13" s="89"/>
      <c r="B13" s="81"/>
      <c r="C13" s="90"/>
      <c r="D13" s="127"/>
      <c r="E13" s="127"/>
      <c r="F13" s="127"/>
      <c r="G13" s="127"/>
      <c r="K13" s="92"/>
    </row>
    <row r="14" spans="1:17" s="91" customFormat="1" ht="14.25" customHeight="1">
      <c r="A14" s="87"/>
      <c r="B14" s="93"/>
      <c r="C14" s="94"/>
      <c r="D14" s="126"/>
      <c r="E14" s="126"/>
      <c r="F14" s="126"/>
      <c r="G14" s="126"/>
    </row>
    <row r="15" spans="1:17" s="77" customFormat="1" ht="12.75" customHeight="1">
      <c r="A15" s="88" t="s">
        <v>1011</v>
      </c>
      <c r="B15" s="79"/>
      <c r="C15" s="77" t="s">
        <v>187</v>
      </c>
      <c r="D15" s="253" t="s">
        <v>1012</v>
      </c>
      <c r="E15" s="253"/>
      <c r="F15" s="253"/>
      <c r="G15" s="253"/>
    </row>
    <row r="16" spans="1:17" s="77" customFormat="1" ht="13.8">
      <c r="A16" s="89"/>
      <c r="B16" s="95"/>
      <c r="C16" s="96"/>
      <c r="D16" s="127"/>
      <c r="E16" s="127"/>
      <c r="F16" s="127"/>
      <c r="G16" s="127"/>
    </row>
    <row r="17" spans="1:7" s="91" customFormat="1" ht="12.75" customHeight="1">
      <c r="A17" s="97"/>
      <c r="B17" s="93"/>
      <c r="C17" s="94"/>
      <c r="D17" s="126"/>
      <c r="E17" s="126"/>
      <c r="F17" s="126"/>
      <c r="G17" s="126"/>
    </row>
    <row r="18" spans="1:7" s="77" customFormat="1" ht="13.8">
      <c r="A18" s="78" t="s">
        <v>1013</v>
      </c>
      <c r="B18" s="98">
        <v>0.67808219178082196</v>
      </c>
      <c r="D18" s="253" t="s">
        <v>1014</v>
      </c>
      <c r="E18" s="253"/>
      <c r="F18" s="253"/>
      <c r="G18" s="253"/>
    </row>
    <row r="19" spans="1:7" s="77" customFormat="1" ht="13.8">
      <c r="A19" s="99"/>
      <c r="B19" s="95"/>
      <c r="C19" s="96"/>
      <c r="D19" s="127"/>
      <c r="E19" s="127"/>
      <c r="F19" s="127"/>
      <c r="G19" s="127"/>
    </row>
    <row r="20" spans="1:7" s="77" customFormat="1" ht="12.75" customHeight="1">
      <c r="A20" s="100"/>
      <c r="B20" s="75"/>
      <c r="C20" s="76"/>
      <c r="D20" s="126"/>
      <c r="E20" s="126"/>
      <c r="F20" s="126"/>
      <c r="G20" s="126"/>
    </row>
    <row r="21" spans="1:7" s="77" customFormat="1" ht="13.8">
      <c r="A21" s="78" t="s">
        <v>1015</v>
      </c>
      <c r="B21" s="98">
        <v>0.82842465753424654</v>
      </c>
      <c r="D21" s="253" t="s">
        <v>1016</v>
      </c>
      <c r="E21" s="253"/>
      <c r="F21" s="253"/>
      <c r="G21" s="253"/>
    </row>
    <row r="22" spans="1:7" s="77" customFormat="1" ht="13.8">
      <c r="A22" s="101"/>
      <c r="B22" s="102"/>
      <c r="C22" s="103"/>
      <c r="D22" s="127"/>
      <c r="E22" s="127"/>
      <c r="F22" s="127"/>
      <c r="G22" s="127"/>
    </row>
    <row r="23" spans="1:7" s="77" customFormat="1" ht="13.5" customHeight="1">
      <c r="A23" s="104"/>
      <c r="B23" s="105"/>
      <c r="C23" s="106"/>
      <c r="D23" s="128"/>
      <c r="E23" s="128"/>
      <c r="F23" s="128"/>
      <c r="G23" s="128"/>
    </row>
    <row r="24" spans="1:7" s="77" customFormat="1" ht="13.8">
      <c r="A24" s="78" t="s">
        <v>1017</v>
      </c>
      <c r="B24" s="107">
        <f>ACTUAL_RATE-PLANNED_RATE</f>
        <v>0.15034246575342458</v>
      </c>
      <c r="D24" s="254" t="s">
        <v>1018</v>
      </c>
      <c r="E24" s="254"/>
      <c r="F24" s="254"/>
      <c r="G24" s="254"/>
    </row>
    <row r="25" spans="1:7" s="77" customFormat="1" ht="13.8">
      <c r="A25" s="108"/>
      <c r="B25" s="109"/>
      <c r="C25" s="110"/>
      <c r="D25" s="129"/>
      <c r="E25" s="129"/>
      <c r="F25" s="129"/>
      <c r="G25" s="129"/>
    </row>
    <row r="26" spans="1:7" s="113" customFormat="1">
      <c r="A26" s="111"/>
      <c r="B26" s="112"/>
    </row>
    <row r="27" spans="1:7">
      <c r="B27" s="122"/>
      <c r="G27" s="114"/>
    </row>
    <row r="28" spans="1:7">
      <c r="B28" s="116"/>
    </row>
    <row r="29" spans="1:7">
      <c r="B29" s="116"/>
    </row>
    <row r="30" spans="1:7">
      <c r="B30" s="13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14"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8"/>
  <sheetViews>
    <sheetView showGridLines="0" zoomScale="90" zoomScaleNormal="90" workbookViewId="0">
      <pane ySplit="1" topLeftCell="A2" activePane="bottomLeft" state="frozen"/>
      <selection pane="bottomLeft"/>
    </sheetView>
  </sheetViews>
  <sheetFormatPr defaultColWidth="8.8984375" defaultRowHeight="14.4"/>
  <cols>
    <col min="1" max="1" width="1.69921875" style="222" customWidth="1"/>
    <col min="2" max="2" width="8.8984375" style="222"/>
    <col min="3" max="3" width="10.796875" style="222" bestFit="1" customWidth="1"/>
    <col min="4" max="5" width="8.8984375" style="222"/>
    <col min="6" max="6" width="10.69921875" style="222" customWidth="1"/>
    <col min="7" max="16384" width="8.8984375" style="222"/>
  </cols>
  <sheetData>
    <row r="1" spans="2:16" ht="37.049999999999997" customHeight="1">
      <c r="B1" s="146" t="s">
        <v>1074</v>
      </c>
    </row>
    <row r="2" spans="2:16">
      <c r="B2" s="222" t="s">
        <v>1075</v>
      </c>
    </row>
    <row r="3" spans="2:16">
      <c r="B3" s="222" t="s">
        <v>1076</v>
      </c>
    </row>
    <row r="4" spans="2:16">
      <c r="B4" s="226">
        <v>21</v>
      </c>
      <c r="C4" s="222" t="s">
        <v>1073</v>
      </c>
    </row>
    <row r="6" spans="2:16" ht="28.8">
      <c r="B6" s="145" t="s">
        <v>412</v>
      </c>
      <c r="C6" s="169" t="s">
        <v>421</v>
      </c>
      <c r="D6" s="169" t="s">
        <v>369</v>
      </c>
      <c r="E6" s="169" t="s">
        <v>1077</v>
      </c>
      <c r="F6" s="169" t="s">
        <v>1078</v>
      </c>
      <c r="G6" s="258" t="s">
        <v>354</v>
      </c>
      <c r="H6" s="258"/>
      <c r="I6" s="258"/>
      <c r="J6" s="258"/>
      <c r="K6" s="258"/>
      <c r="L6" s="258"/>
      <c r="M6" s="258"/>
      <c r="N6" s="258"/>
      <c r="O6" s="258"/>
      <c r="P6" s="259"/>
    </row>
    <row r="7" spans="2:16">
      <c r="B7" s="218" t="s">
        <v>1019</v>
      </c>
      <c r="C7" s="229">
        <v>42975</v>
      </c>
      <c r="D7" s="229">
        <v>43080</v>
      </c>
      <c r="E7" s="230">
        <v>179</v>
      </c>
      <c r="F7" s="230">
        <f>E7/$B$4</f>
        <v>8.5238095238095237</v>
      </c>
      <c r="G7" s="227" t="str">
        <f>REPT("|",IF(E7&gt;0,IF(E7/1&lt;1,1,E7/1)))</f>
        <v>|||||||||||||||||||||||||||||||||||||||||||||||||||||||||||||||||||||||||||||||||||||||||||||||||||||||||||||||||||||||||||||||||||||||||||||||||||||||||||||||||||||||||||||||||||</v>
      </c>
      <c r="H7" s="219"/>
      <c r="I7" s="219"/>
      <c r="J7" s="219"/>
      <c r="K7" s="219"/>
      <c r="L7" s="219"/>
      <c r="M7" s="219"/>
      <c r="N7" s="219"/>
      <c r="O7" s="219"/>
      <c r="P7" s="219"/>
    </row>
    <row r="8" spans="2:16">
      <c r="D8" s="222" t="s">
        <v>0</v>
      </c>
      <c r="E8" s="228">
        <f>SUM(E7:E7)</f>
        <v>179</v>
      </c>
      <c r="F8" s="228">
        <f>E8/$B$4</f>
        <v>8.5238095238095237</v>
      </c>
    </row>
  </sheetData>
  <sortState ref="A7:L47">
    <sortCondition ref="A7:A49"/>
    <sortCondition ref="B7:B49"/>
  </sortState>
  <mergeCells count="1">
    <mergeCell ref="G6:P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05"/>
  <sheetViews>
    <sheetView showGridLines="0" zoomScale="85" zoomScaleNormal="85" workbookViewId="0">
      <pane ySplit="1" topLeftCell="A200" activePane="bottomLeft" state="frozenSplit"/>
      <selection pane="bottomLeft" activeCell="C209" sqref="C209"/>
    </sheetView>
  </sheetViews>
  <sheetFormatPr defaultColWidth="8.8984375" defaultRowHeight="14.4"/>
  <cols>
    <col min="1" max="1" width="28.09765625" style="154" customWidth="1"/>
    <col min="2" max="2" width="12.8984375" style="154" customWidth="1"/>
    <col min="3" max="3" width="6.796875" style="154" customWidth="1"/>
    <col min="4" max="4" width="19.09765625" style="154" customWidth="1"/>
    <col min="5" max="5" width="12.59765625" style="154" customWidth="1"/>
    <col min="6" max="6" width="8.8984375" style="154"/>
    <col min="7" max="7" width="21.59765625" style="154" customWidth="1"/>
    <col min="8" max="8" width="16.296875" style="154" bestFit="1" customWidth="1"/>
    <col min="9" max="9" width="9.8984375" style="154" bestFit="1" customWidth="1"/>
    <col min="10" max="10" width="24.296875" style="154" bestFit="1" customWidth="1"/>
    <col min="11" max="19" width="8.8984375" style="154"/>
    <col min="20" max="23" width="8.8984375" style="154" customWidth="1"/>
    <col min="24" max="16384" width="8.8984375" style="154"/>
  </cols>
  <sheetData>
    <row r="1" spans="1:9" s="149" customFormat="1" ht="36.9" customHeight="1">
      <c r="A1" s="147" t="s">
        <v>1020</v>
      </c>
      <c r="B1" s="147"/>
      <c r="C1" s="147"/>
      <c r="D1" s="147"/>
      <c r="E1" s="147"/>
      <c r="F1" s="147"/>
      <c r="G1" s="147"/>
      <c r="H1" s="147"/>
    </row>
    <row r="2" spans="1:9" s="150" customFormat="1" ht="78.75" customHeight="1">
      <c r="A2" s="261" t="s">
        <v>1021</v>
      </c>
      <c r="B2" s="261"/>
      <c r="C2" s="261"/>
      <c r="D2" s="261"/>
      <c r="E2" s="261"/>
      <c r="F2" s="261"/>
      <c r="G2" s="261"/>
      <c r="H2" s="261"/>
    </row>
    <row r="3" spans="1:9" s="150" customFormat="1" ht="24.75" customHeight="1">
      <c r="A3" s="260" t="s">
        <v>23</v>
      </c>
      <c r="B3" s="260"/>
      <c r="D3" s="260" t="s">
        <v>1022</v>
      </c>
      <c r="E3" s="260"/>
      <c r="G3" s="260" t="s">
        <v>1023</v>
      </c>
      <c r="H3" s="260"/>
    </row>
    <row r="4" spans="1:9" s="151" customFormat="1" ht="19.5" customHeight="1">
      <c r="A4" s="158" t="s">
        <v>1024</v>
      </c>
      <c r="B4" s="158" t="s">
        <v>1025</v>
      </c>
      <c r="D4" s="158" t="s">
        <v>1024</v>
      </c>
      <c r="E4" s="158" t="s">
        <v>1026</v>
      </c>
      <c r="G4" s="158" t="s">
        <v>1024</v>
      </c>
      <c r="H4" s="158" t="s">
        <v>1026</v>
      </c>
    </row>
    <row r="5" spans="1:9">
      <c r="A5" s="152" t="s">
        <v>824</v>
      </c>
      <c r="B5" s="153">
        <v>42370</v>
      </c>
      <c r="C5" s="154" t="str">
        <f t="shared" ref="C5:C68" si="0">IF(B5&gt;0,TEXT(B5,"(aaa)"),"")</f>
        <v>(금)</v>
      </c>
      <c r="D5" s="152"/>
      <c r="E5" s="153"/>
      <c r="F5" s="154" t="str">
        <f t="shared" ref="F5:F68" si="1">IF(E5&gt;0,TEXT(E5,"(aaa)"),"")</f>
        <v/>
      </c>
      <c r="G5" s="152"/>
      <c r="H5" s="153"/>
      <c r="I5" s="154" t="str">
        <f t="shared" ref="I5:I68" si="2">IF(H5&gt;0,TEXT(H5,"(aaa)"),"")</f>
        <v/>
      </c>
    </row>
    <row r="6" spans="1:9">
      <c r="A6" s="152" t="s">
        <v>825</v>
      </c>
      <c r="B6" s="153">
        <v>42371</v>
      </c>
      <c r="C6" s="154" t="str">
        <f t="shared" si="0"/>
        <v>(토)</v>
      </c>
      <c r="D6" s="152"/>
      <c r="E6" s="153"/>
      <c r="F6" s="154" t="str">
        <f t="shared" si="1"/>
        <v/>
      </c>
      <c r="G6" s="152"/>
      <c r="H6" s="153"/>
      <c r="I6" s="154" t="str">
        <f t="shared" si="2"/>
        <v/>
      </c>
    </row>
    <row r="7" spans="1:9">
      <c r="A7" s="152" t="s">
        <v>825</v>
      </c>
      <c r="B7" s="153">
        <v>42372</v>
      </c>
      <c r="C7" s="154" t="str">
        <f t="shared" si="0"/>
        <v>(일)</v>
      </c>
      <c r="D7" s="152"/>
      <c r="E7" s="153"/>
      <c r="F7" s="154" t="str">
        <f t="shared" si="1"/>
        <v/>
      </c>
      <c r="G7" s="152"/>
      <c r="H7" s="153"/>
      <c r="I7" s="154" t="str">
        <f t="shared" si="2"/>
        <v/>
      </c>
    </row>
    <row r="8" spans="1:9">
      <c r="A8" s="152" t="s">
        <v>825</v>
      </c>
      <c r="B8" s="153">
        <v>42378</v>
      </c>
      <c r="C8" s="154" t="str">
        <f t="shared" si="0"/>
        <v>(토)</v>
      </c>
      <c r="D8" s="152"/>
      <c r="E8" s="153"/>
      <c r="F8" s="154" t="str">
        <f t="shared" si="1"/>
        <v/>
      </c>
      <c r="G8" s="152"/>
      <c r="H8" s="153"/>
      <c r="I8" s="154" t="str">
        <f t="shared" si="2"/>
        <v/>
      </c>
    </row>
    <row r="9" spans="1:9">
      <c r="A9" s="152" t="s">
        <v>825</v>
      </c>
      <c r="B9" s="153">
        <v>42379</v>
      </c>
      <c r="C9" s="154" t="str">
        <f t="shared" si="0"/>
        <v>(일)</v>
      </c>
      <c r="D9" s="152"/>
      <c r="E9" s="153"/>
      <c r="F9" s="154" t="str">
        <f t="shared" si="1"/>
        <v/>
      </c>
      <c r="G9" s="152"/>
      <c r="H9" s="153"/>
      <c r="I9" s="154" t="str">
        <f t="shared" si="2"/>
        <v/>
      </c>
    </row>
    <row r="10" spans="1:9">
      <c r="A10" s="152" t="s">
        <v>825</v>
      </c>
      <c r="B10" s="153">
        <v>42385</v>
      </c>
      <c r="C10" s="154" t="str">
        <f t="shared" si="0"/>
        <v>(토)</v>
      </c>
      <c r="D10" s="152"/>
      <c r="E10" s="153"/>
      <c r="F10" s="154" t="str">
        <f t="shared" si="1"/>
        <v/>
      </c>
      <c r="G10" s="152"/>
      <c r="H10" s="153"/>
      <c r="I10" s="154" t="str">
        <f t="shared" si="2"/>
        <v/>
      </c>
    </row>
    <row r="11" spans="1:9">
      <c r="A11" s="152" t="s">
        <v>825</v>
      </c>
      <c r="B11" s="153">
        <v>42386</v>
      </c>
      <c r="C11" s="154" t="str">
        <f t="shared" si="0"/>
        <v>(일)</v>
      </c>
      <c r="D11" s="152"/>
      <c r="E11" s="153"/>
      <c r="F11" s="154" t="str">
        <f t="shared" si="1"/>
        <v/>
      </c>
      <c r="G11" s="152"/>
      <c r="H11" s="153"/>
      <c r="I11" s="154" t="str">
        <f t="shared" si="2"/>
        <v/>
      </c>
    </row>
    <row r="12" spans="1:9">
      <c r="A12" s="152" t="s">
        <v>825</v>
      </c>
      <c r="B12" s="153">
        <v>42392</v>
      </c>
      <c r="C12" s="154" t="str">
        <f t="shared" si="0"/>
        <v>(토)</v>
      </c>
      <c r="D12" s="152"/>
      <c r="E12" s="153"/>
      <c r="F12" s="154" t="str">
        <f t="shared" si="1"/>
        <v/>
      </c>
      <c r="G12" s="152"/>
      <c r="H12" s="153"/>
      <c r="I12" s="154" t="str">
        <f t="shared" si="2"/>
        <v/>
      </c>
    </row>
    <row r="13" spans="1:9">
      <c r="A13" s="152" t="s">
        <v>825</v>
      </c>
      <c r="B13" s="153">
        <v>42393</v>
      </c>
      <c r="C13" s="154" t="str">
        <f t="shared" si="0"/>
        <v>(일)</v>
      </c>
      <c r="D13" s="152"/>
      <c r="E13" s="153"/>
      <c r="F13" s="154" t="str">
        <f t="shared" si="1"/>
        <v/>
      </c>
      <c r="G13" s="152"/>
      <c r="H13" s="153"/>
      <c r="I13" s="154" t="str">
        <f t="shared" si="2"/>
        <v/>
      </c>
    </row>
    <row r="14" spans="1:9">
      <c r="A14" s="152" t="s">
        <v>825</v>
      </c>
      <c r="B14" s="153">
        <v>42399</v>
      </c>
      <c r="C14" s="154" t="str">
        <f t="shared" si="0"/>
        <v>(토)</v>
      </c>
      <c r="D14" s="152"/>
      <c r="E14" s="153"/>
      <c r="F14" s="154" t="str">
        <f t="shared" si="1"/>
        <v/>
      </c>
      <c r="G14" s="152"/>
      <c r="H14" s="153"/>
      <c r="I14" s="154" t="str">
        <f t="shared" si="2"/>
        <v/>
      </c>
    </row>
    <row r="15" spans="1:9">
      <c r="A15" s="152" t="s">
        <v>825</v>
      </c>
      <c r="B15" s="153">
        <v>42400</v>
      </c>
      <c r="C15" s="154" t="str">
        <f t="shared" si="0"/>
        <v>(일)</v>
      </c>
      <c r="D15" s="152"/>
      <c r="E15" s="153"/>
      <c r="F15" s="154" t="str">
        <f t="shared" si="1"/>
        <v/>
      </c>
      <c r="G15" s="152"/>
      <c r="H15" s="153"/>
      <c r="I15" s="154" t="str">
        <f t="shared" si="2"/>
        <v/>
      </c>
    </row>
    <row r="16" spans="1:9">
      <c r="A16" s="152" t="s">
        <v>826</v>
      </c>
      <c r="B16" s="153">
        <v>42406</v>
      </c>
      <c r="C16" s="154" t="str">
        <f t="shared" si="0"/>
        <v>(토)</v>
      </c>
      <c r="D16" s="152"/>
      <c r="E16" s="153"/>
      <c r="F16" s="154" t="str">
        <f t="shared" si="1"/>
        <v/>
      </c>
      <c r="G16" s="152"/>
      <c r="H16" s="153"/>
      <c r="I16" s="154" t="str">
        <f t="shared" si="2"/>
        <v/>
      </c>
    </row>
    <row r="17" spans="1:10">
      <c r="A17" s="152" t="s">
        <v>826</v>
      </c>
      <c r="B17" s="153">
        <v>42407</v>
      </c>
      <c r="C17" s="154" t="str">
        <f t="shared" si="0"/>
        <v>(일)</v>
      </c>
      <c r="D17" s="152"/>
      <c r="E17" s="153"/>
      <c r="F17" s="154" t="str">
        <f t="shared" si="1"/>
        <v/>
      </c>
      <c r="G17" s="152"/>
      <c r="H17" s="153"/>
      <c r="I17" s="154" t="str">
        <f t="shared" si="2"/>
        <v/>
      </c>
    </row>
    <row r="18" spans="1:10">
      <c r="A18" s="152" t="s">
        <v>827</v>
      </c>
      <c r="B18" s="153">
        <v>42408</v>
      </c>
      <c r="C18" s="154" t="str">
        <f t="shared" si="0"/>
        <v>(월)</v>
      </c>
      <c r="D18" s="152"/>
      <c r="E18" s="153"/>
      <c r="F18" s="154" t="str">
        <f t="shared" si="1"/>
        <v/>
      </c>
      <c r="G18" s="152"/>
      <c r="H18" s="153"/>
      <c r="I18" s="154" t="str">
        <f t="shared" si="2"/>
        <v/>
      </c>
    </row>
    <row r="19" spans="1:10" ht="15.6">
      <c r="A19" s="152" t="s">
        <v>828</v>
      </c>
      <c r="B19" s="153">
        <v>42409</v>
      </c>
      <c r="C19" s="154" t="str">
        <f t="shared" si="0"/>
        <v>(화)</v>
      </c>
      <c r="D19" s="152"/>
      <c r="E19" s="153"/>
      <c r="F19" s="154" t="str">
        <f t="shared" si="1"/>
        <v/>
      </c>
      <c r="G19" s="152"/>
      <c r="H19" s="153"/>
      <c r="I19" s="154" t="str">
        <f t="shared" si="2"/>
        <v/>
      </c>
      <c r="J19" s="155"/>
    </row>
    <row r="20" spans="1:10" ht="15.6">
      <c r="A20" s="152" t="s">
        <v>829</v>
      </c>
      <c r="B20" s="153">
        <v>42410</v>
      </c>
      <c r="C20" s="154" t="str">
        <f t="shared" si="0"/>
        <v>(수)</v>
      </c>
      <c r="D20" s="152"/>
      <c r="E20" s="153"/>
      <c r="F20" s="154" t="str">
        <f t="shared" si="1"/>
        <v/>
      </c>
      <c r="G20" s="152"/>
      <c r="H20" s="153"/>
      <c r="I20" s="154" t="str">
        <f t="shared" si="2"/>
        <v/>
      </c>
      <c r="J20" s="155"/>
    </row>
    <row r="21" spans="1:10">
      <c r="A21" s="152" t="s">
        <v>826</v>
      </c>
      <c r="B21" s="153">
        <v>42413</v>
      </c>
      <c r="C21" s="154" t="str">
        <f t="shared" si="0"/>
        <v>(토)</v>
      </c>
      <c r="D21" s="152"/>
      <c r="E21" s="153"/>
      <c r="F21" s="154" t="str">
        <f t="shared" si="1"/>
        <v/>
      </c>
      <c r="G21" s="152"/>
      <c r="H21" s="153"/>
      <c r="I21" s="154" t="str">
        <f t="shared" si="2"/>
        <v/>
      </c>
    </row>
    <row r="22" spans="1:10">
      <c r="A22" s="152" t="s">
        <v>826</v>
      </c>
      <c r="B22" s="153">
        <v>42414</v>
      </c>
      <c r="C22" s="154" t="str">
        <f t="shared" si="0"/>
        <v>(일)</v>
      </c>
      <c r="D22" s="152"/>
      <c r="E22" s="153"/>
      <c r="F22" s="154" t="str">
        <f t="shared" si="1"/>
        <v/>
      </c>
      <c r="G22" s="152"/>
      <c r="H22" s="153"/>
      <c r="I22" s="154" t="str">
        <f t="shared" si="2"/>
        <v/>
      </c>
    </row>
    <row r="23" spans="1:10">
      <c r="A23" s="152" t="s">
        <v>826</v>
      </c>
      <c r="B23" s="153">
        <v>42420</v>
      </c>
      <c r="C23" s="154" t="str">
        <f t="shared" si="0"/>
        <v>(토)</v>
      </c>
      <c r="D23" s="152"/>
      <c r="E23" s="153"/>
      <c r="F23" s="154" t="str">
        <f t="shared" si="1"/>
        <v/>
      </c>
      <c r="G23" s="152"/>
      <c r="H23" s="153"/>
      <c r="I23" s="154" t="str">
        <f t="shared" si="2"/>
        <v/>
      </c>
    </row>
    <row r="24" spans="1:10">
      <c r="A24" s="152" t="s">
        <v>826</v>
      </c>
      <c r="B24" s="153">
        <v>42421</v>
      </c>
      <c r="C24" s="154" t="str">
        <f t="shared" si="0"/>
        <v>(일)</v>
      </c>
      <c r="D24" s="152"/>
      <c r="E24" s="153"/>
      <c r="F24" s="154" t="str">
        <f t="shared" si="1"/>
        <v/>
      </c>
      <c r="G24" s="152"/>
      <c r="H24" s="153"/>
      <c r="I24" s="154" t="str">
        <f t="shared" si="2"/>
        <v/>
      </c>
    </row>
    <row r="25" spans="1:10">
      <c r="A25" s="152" t="s">
        <v>826</v>
      </c>
      <c r="B25" s="153">
        <v>42427</v>
      </c>
      <c r="C25" s="154" t="str">
        <f t="shared" si="0"/>
        <v>(토)</v>
      </c>
      <c r="D25" s="152"/>
      <c r="E25" s="153"/>
      <c r="F25" s="154" t="str">
        <f t="shared" si="1"/>
        <v/>
      </c>
      <c r="G25" s="152"/>
      <c r="H25" s="153"/>
      <c r="I25" s="154" t="str">
        <f t="shared" si="2"/>
        <v/>
      </c>
    </row>
    <row r="26" spans="1:10">
      <c r="A26" s="152" t="s">
        <v>826</v>
      </c>
      <c r="B26" s="153">
        <v>42428</v>
      </c>
      <c r="C26" s="154" t="str">
        <f t="shared" si="0"/>
        <v>(일)</v>
      </c>
      <c r="D26" s="152"/>
      <c r="E26" s="153"/>
      <c r="F26" s="154" t="str">
        <f t="shared" si="1"/>
        <v/>
      </c>
      <c r="G26" s="152"/>
      <c r="H26" s="153"/>
      <c r="I26" s="154" t="str">
        <f t="shared" si="2"/>
        <v/>
      </c>
    </row>
    <row r="27" spans="1:10">
      <c r="A27" s="152" t="s">
        <v>830</v>
      </c>
      <c r="B27" s="153">
        <v>42430</v>
      </c>
      <c r="C27" s="154" t="str">
        <f t="shared" si="0"/>
        <v>(화)</v>
      </c>
      <c r="D27" s="152"/>
      <c r="E27" s="153"/>
      <c r="F27" s="154" t="str">
        <f t="shared" si="1"/>
        <v/>
      </c>
      <c r="G27" s="152"/>
      <c r="H27" s="153"/>
      <c r="I27" s="154" t="str">
        <f t="shared" si="2"/>
        <v/>
      </c>
    </row>
    <row r="28" spans="1:10">
      <c r="A28" s="152" t="s">
        <v>831</v>
      </c>
      <c r="B28" s="153">
        <v>42434</v>
      </c>
      <c r="C28" s="154" t="str">
        <f t="shared" si="0"/>
        <v>(토)</v>
      </c>
      <c r="D28" s="152"/>
      <c r="E28" s="153"/>
      <c r="F28" s="154" t="str">
        <f t="shared" si="1"/>
        <v/>
      </c>
      <c r="G28" s="152"/>
      <c r="H28" s="153"/>
      <c r="I28" s="154" t="str">
        <f t="shared" si="2"/>
        <v/>
      </c>
    </row>
    <row r="29" spans="1:10">
      <c r="A29" s="152" t="s">
        <v>831</v>
      </c>
      <c r="B29" s="153">
        <v>42435</v>
      </c>
      <c r="C29" s="154" t="str">
        <f t="shared" si="0"/>
        <v>(일)</v>
      </c>
      <c r="D29" s="152"/>
      <c r="E29" s="153"/>
      <c r="F29" s="154" t="str">
        <f t="shared" si="1"/>
        <v/>
      </c>
      <c r="G29" s="152"/>
      <c r="H29" s="153"/>
      <c r="I29" s="154" t="str">
        <f t="shared" si="2"/>
        <v/>
      </c>
    </row>
    <row r="30" spans="1:10">
      <c r="A30" s="152" t="s">
        <v>831</v>
      </c>
      <c r="B30" s="153">
        <v>42441</v>
      </c>
      <c r="C30" s="154" t="str">
        <f t="shared" si="0"/>
        <v>(토)</v>
      </c>
      <c r="D30" s="152"/>
      <c r="E30" s="153"/>
      <c r="F30" s="154" t="str">
        <f t="shared" si="1"/>
        <v/>
      </c>
      <c r="G30" s="152"/>
      <c r="H30" s="153"/>
      <c r="I30" s="154" t="str">
        <f t="shared" si="2"/>
        <v/>
      </c>
    </row>
    <row r="31" spans="1:10">
      <c r="A31" s="152" t="s">
        <v>831</v>
      </c>
      <c r="B31" s="153">
        <v>42442</v>
      </c>
      <c r="C31" s="154" t="str">
        <f t="shared" si="0"/>
        <v>(일)</v>
      </c>
      <c r="D31" s="152"/>
      <c r="E31" s="153"/>
      <c r="F31" s="154" t="str">
        <f t="shared" si="1"/>
        <v/>
      </c>
      <c r="G31" s="152"/>
      <c r="H31" s="153"/>
      <c r="I31" s="154" t="str">
        <f t="shared" si="2"/>
        <v/>
      </c>
    </row>
    <row r="32" spans="1:10">
      <c r="A32" s="152" t="s">
        <v>831</v>
      </c>
      <c r="B32" s="153">
        <v>42448</v>
      </c>
      <c r="C32" s="154" t="str">
        <f t="shared" si="0"/>
        <v>(토)</v>
      </c>
      <c r="D32" s="152"/>
      <c r="E32" s="153"/>
      <c r="F32" s="154" t="str">
        <f t="shared" si="1"/>
        <v/>
      </c>
      <c r="G32" s="152"/>
      <c r="H32" s="153"/>
      <c r="I32" s="154" t="str">
        <f t="shared" si="2"/>
        <v/>
      </c>
    </row>
    <row r="33" spans="1:9">
      <c r="A33" s="152" t="s">
        <v>831</v>
      </c>
      <c r="B33" s="153">
        <v>42449</v>
      </c>
      <c r="C33" s="154" t="str">
        <f t="shared" si="0"/>
        <v>(일)</v>
      </c>
      <c r="D33" s="152"/>
      <c r="E33" s="153"/>
      <c r="F33" s="154" t="str">
        <f t="shared" si="1"/>
        <v/>
      </c>
      <c r="G33" s="152"/>
      <c r="H33" s="153"/>
      <c r="I33" s="154" t="str">
        <f t="shared" si="2"/>
        <v/>
      </c>
    </row>
    <row r="34" spans="1:9">
      <c r="A34" s="152" t="s">
        <v>831</v>
      </c>
      <c r="B34" s="153">
        <v>42455</v>
      </c>
      <c r="C34" s="154" t="str">
        <f t="shared" si="0"/>
        <v>(토)</v>
      </c>
      <c r="D34" s="152"/>
      <c r="E34" s="153"/>
      <c r="F34" s="154" t="str">
        <f t="shared" si="1"/>
        <v/>
      </c>
      <c r="G34" s="152"/>
      <c r="H34" s="153"/>
      <c r="I34" s="154" t="str">
        <f t="shared" si="2"/>
        <v/>
      </c>
    </row>
    <row r="35" spans="1:9">
      <c r="A35" s="152" t="s">
        <v>831</v>
      </c>
      <c r="B35" s="153">
        <v>42456</v>
      </c>
      <c r="C35" s="154" t="str">
        <f t="shared" si="0"/>
        <v>(일)</v>
      </c>
      <c r="D35" s="152"/>
      <c r="E35" s="153"/>
      <c r="F35" s="154" t="str">
        <f t="shared" si="1"/>
        <v/>
      </c>
      <c r="G35" s="152"/>
      <c r="H35" s="153"/>
      <c r="I35" s="154" t="str">
        <f t="shared" si="2"/>
        <v/>
      </c>
    </row>
    <row r="36" spans="1:9">
      <c r="A36" s="152" t="s">
        <v>832</v>
      </c>
      <c r="B36" s="153">
        <v>42462</v>
      </c>
      <c r="C36" s="154" t="str">
        <f t="shared" si="0"/>
        <v>(토)</v>
      </c>
      <c r="D36" s="152"/>
      <c r="E36" s="153"/>
      <c r="F36" s="154" t="str">
        <f t="shared" si="1"/>
        <v/>
      </c>
      <c r="G36" s="152"/>
      <c r="H36" s="153"/>
      <c r="I36" s="154" t="str">
        <f t="shared" si="2"/>
        <v/>
      </c>
    </row>
    <row r="37" spans="1:9">
      <c r="A37" s="152" t="s">
        <v>832</v>
      </c>
      <c r="B37" s="153">
        <v>42463</v>
      </c>
      <c r="C37" s="154" t="str">
        <f t="shared" si="0"/>
        <v>(일)</v>
      </c>
      <c r="D37" s="152"/>
      <c r="E37" s="153"/>
      <c r="F37" s="154" t="str">
        <f t="shared" si="1"/>
        <v/>
      </c>
      <c r="G37" s="152"/>
      <c r="H37" s="153"/>
      <c r="I37" s="154" t="str">
        <f t="shared" si="2"/>
        <v/>
      </c>
    </row>
    <row r="38" spans="1:9">
      <c r="A38" s="152" t="s">
        <v>832</v>
      </c>
      <c r="B38" s="153">
        <v>42469</v>
      </c>
      <c r="C38" s="154" t="str">
        <f t="shared" si="0"/>
        <v>(토)</v>
      </c>
      <c r="D38" s="152"/>
      <c r="E38" s="153"/>
      <c r="F38" s="154" t="str">
        <f t="shared" si="1"/>
        <v/>
      </c>
      <c r="G38" s="152"/>
      <c r="H38" s="153"/>
      <c r="I38" s="154" t="str">
        <f t="shared" si="2"/>
        <v/>
      </c>
    </row>
    <row r="39" spans="1:9">
      <c r="A39" s="152" t="s">
        <v>832</v>
      </c>
      <c r="B39" s="153">
        <v>42470</v>
      </c>
      <c r="C39" s="154" t="str">
        <f t="shared" si="0"/>
        <v>(일)</v>
      </c>
      <c r="D39" s="152"/>
      <c r="E39" s="153"/>
      <c r="F39" s="154" t="str">
        <f t="shared" si="1"/>
        <v/>
      </c>
      <c r="G39" s="152"/>
      <c r="H39" s="153"/>
      <c r="I39" s="154" t="str">
        <f t="shared" si="2"/>
        <v/>
      </c>
    </row>
    <row r="40" spans="1:9">
      <c r="A40" s="152" t="s">
        <v>833</v>
      </c>
      <c r="B40" s="153">
        <v>42473</v>
      </c>
      <c r="C40" s="154" t="str">
        <f t="shared" si="0"/>
        <v>(수)</v>
      </c>
      <c r="D40" s="152"/>
      <c r="E40" s="153"/>
      <c r="F40" s="154" t="str">
        <f t="shared" si="1"/>
        <v/>
      </c>
      <c r="G40" s="152"/>
      <c r="H40" s="153"/>
      <c r="I40" s="154" t="str">
        <f t="shared" si="2"/>
        <v/>
      </c>
    </row>
    <row r="41" spans="1:9">
      <c r="A41" s="152" t="s">
        <v>832</v>
      </c>
      <c r="B41" s="153">
        <v>42476</v>
      </c>
      <c r="C41" s="154" t="str">
        <f t="shared" si="0"/>
        <v>(토)</v>
      </c>
      <c r="D41" s="152"/>
      <c r="E41" s="153"/>
      <c r="F41" s="154" t="str">
        <f t="shared" si="1"/>
        <v/>
      </c>
      <c r="G41" s="152"/>
      <c r="H41" s="153"/>
      <c r="I41" s="154" t="str">
        <f t="shared" si="2"/>
        <v/>
      </c>
    </row>
    <row r="42" spans="1:9">
      <c r="A42" s="152" t="s">
        <v>832</v>
      </c>
      <c r="B42" s="153">
        <v>42477</v>
      </c>
      <c r="C42" s="154" t="str">
        <f t="shared" si="0"/>
        <v>(일)</v>
      </c>
      <c r="D42" s="152"/>
      <c r="E42" s="153"/>
      <c r="F42" s="154" t="str">
        <f t="shared" si="1"/>
        <v/>
      </c>
      <c r="G42" s="152"/>
      <c r="H42" s="153"/>
      <c r="I42" s="154" t="str">
        <f t="shared" si="2"/>
        <v/>
      </c>
    </row>
    <row r="43" spans="1:9">
      <c r="A43" s="152" t="s">
        <v>832</v>
      </c>
      <c r="B43" s="153">
        <v>42483</v>
      </c>
      <c r="C43" s="154" t="str">
        <f t="shared" si="0"/>
        <v>(토)</v>
      </c>
      <c r="D43" s="152"/>
      <c r="E43" s="153"/>
      <c r="F43" s="154" t="str">
        <f t="shared" si="1"/>
        <v/>
      </c>
      <c r="G43" s="152"/>
      <c r="H43" s="153"/>
      <c r="I43" s="154" t="str">
        <f t="shared" si="2"/>
        <v/>
      </c>
    </row>
    <row r="44" spans="1:9">
      <c r="A44" s="152" t="s">
        <v>832</v>
      </c>
      <c r="B44" s="153">
        <v>42484</v>
      </c>
      <c r="C44" s="154" t="str">
        <f t="shared" si="0"/>
        <v>(일)</v>
      </c>
      <c r="D44" s="152"/>
      <c r="E44" s="153"/>
      <c r="F44" s="154" t="str">
        <f t="shared" si="1"/>
        <v/>
      </c>
      <c r="G44" s="152"/>
      <c r="H44" s="153"/>
      <c r="I44" s="154" t="str">
        <f t="shared" si="2"/>
        <v/>
      </c>
    </row>
    <row r="45" spans="1:9">
      <c r="A45" s="152" t="s">
        <v>832</v>
      </c>
      <c r="B45" s="153">
        <v>42490</v>
      </c>
      <c r="C45" s="154" t="str">
        <f t="shared" si="0"/>
        <v>(토)</v>
      </c>
      <c r="D45" s="152"/>
      <c r="E45" s="153"/>
      <c r="F45" s="154" t="str">
        <f t="shared" si="1"/>
        <v/>
      </c>
      <c r="G45" s="152"/>
      <c r="H45" s="153"/>
      <c r="I45" s="154" t="str">
        <f t="shared" si="2"/>
        <v/>
      </c>
    </row>
    <row r="46" spans="1:9">
      <c r="A46" s="152" t="s">
        <v>834</v>
      </c>
      <c r="B46" s="153">
        <v>42491</v>
      </c>
      <c r="C46" s="154" t="str">
        <f t="shared" si="0"/>
        <v>(일)</v>
      </c>
      <c r="D46" s="152"/>
      <c r="E46" s="153"/>
      <c r="F46" s="154" t="str">
        <f t="shared" si="1"/>
        <v/>
      </c>
      <c r="G46" s="152"/>
      <c r="H46" s="153"/>
      <c r="I46" s="154" t="str">
        <f t="shared" si="2"/>
        <v/>
      </c>
    </row>
    <row r="47" spans="1:9">
      <c r="A47" s="152" t="s">
        <v>835</v>
      </c>
      <c r="B47" s="153">
        <v>42495</v>
      </c>
      <c r="C47" s="154" t="str">
        <f t="shared" si="0"/>
        <v>(목)</v>
      </c>
      <c r="D47" s="152"/>
      <c r="E47" s="153"/>
      <c r="F47" s="154" t="str">
        <f t="shared" si="1"/>
        <v/>
      </c>
      <c r="G47" s="152"/>
      <c r="H47" s="153"/>
      <c r="I47" s="154" t="str">
        <f t="shared" si="2"/>
        <v/>
      </c>
    </row>
    <row r="48" spans="1:9">
      <c r="A48" s="152" t="s">
        <v>834</v>
      </c>
      <c r="B48" s="153">
        <v>42497</v>
      </c>
      <c r="C48" s="154" t="str">
        <f t="shared" si="0"/>
        <v>(토)</v>
      </c>
      <c r="D48" s="152"/>
      <c r="E48" s="153"/>
      <c r="F48" s="154" t="str">
        <f t="shared" si="1"/>
        <v/>
      </c>
      <c r="G48" s="152"/>
      <c r="H48" s="153"/>
      <c r="I48" s="154" t="str">
        <f t="shared" si="2"/>
        <v/>
      </c>
    </row>
    <row r="49" spans="1:9">
      <c r="A49" s="152" t="s">
        <v>834</v>
      </c>
      <c r="B49" s="153">
        <v>42498</v>
      </c>
      <c r="C49" s="154" t="str">
        <f t="shared" si="0"/>
        <v>(일)</v>
      </c>
      <c r="D49" s="152"/>
      <c r="E49" s="153"/>
      <c r="F49" s="154" t="str">
        <f t="shared" si="1"/>
        <v/>
      </c>
      <c r="G49" s="152"/>
      <c r="H49" s="153"/>
      <c r="I49" s="154" t="str">
        <f t="shared" si="2"/>
        <v/>
      </c>
    </row>
    <row r="50" spans="1:9">
      <c r="A50" s="152" t="s">
        <v>836</v>
      </c>
      <c r="B50" s="153">
        <v>42504</v>
      </c>
      <c r="C50" s="154" t="str">
        <f t="shared" si="0"/>
        <v>(토)</v>
      </c>
      <c r="D50" s="152"/>
      <c r="E50" s="153"/>
      <c r="F50" s="154" t="str">
        <f t="shared" si="1"/>
        <v/>
      </c>
      <c r="G50" s="152"/>
      <c r="H50" s="153"/>
      <c r="I50" s="154" t="str">
        <f t="shared" si="2"/>
        <v/>
      </c>
    </row>
    <row r="51" spans="1:9">
      <c r="A51" s="152" t="s">
        <v>834</v>
      </c>
      <c r="B51" s="153">
        <v>42505</v>
      </c>
      <c r="C51" s="154" t="str">
        <f t="shared" si="0"/>
        <v>(일)</v>
      </c>
      <c r="D51" s="152"/>
      <c r="E51" s="153"/>
      <c r="F51" s="154" t="str">
        <f t="shared" si="1"/>
        <v/>
      </c>
      <c r="G51" s="152"/>
      <c r="H51" s="153"/>
      <c r="I51" s="154" t="str">
        <f t="shared" si="2"/>
        <v/>
      </c>
    </row>
    <row r="52" spans="1:9">
      <c r="A52" s="152" t="s">
        <v>834</v>
      </c>
      <c r="B52" s="153">
        <v>42511</v>
      </c>
      <c r="C52" s="154" t="str">
        <f t="shared" si="0"/>
        <v>(토)</v>
      </c>
      <c r="D52" s="152"/>
      <c r="E52" s="153"/>
      <c r="F52" s="154" t="str">
        <f t="shared" si="1"/>
        <v/>
      </c>
      <c r="G52" s="152"/>
      <c r="H52" s="153"/>
      <c r="I52" s="154" t="str">
        <f t="shared" si="2"/>
        <v/>
      </c>
    </row>
    <row r="53" spans="1:9">
      <c r="A53" s="152" t="s">
        <v>834</v>
      </c>
      <c r="B53" s="153">
        <v>42512</v>
      </c>
      <c r="C53" s="154" t="str">
        <f t="shared" si="0"/>
        <v>(일)</v>
      </c>
      <c r="D53" s="152"/>
      <c r="E53" s="153"/>
      <c r="F53" s="154" t="str">
        <f t="shared" si="1"/>
        <v/>
      </c>
      <c r="G53" s="152"/>
      <c r="H53" s="153"/>
      <c r="I53" s="154" t="str">
        <f t="shared" si="2"/>
        <v/>
      </c>
    </row>
    <row r="54" spans="1:9">
      <c r="A54" s="152" t="s">
        <v>834</v>
      </c>
      <c r="B54" s="153">
        <v>42518</v>
      </c>
      <c r="C54" s="154" t="str">
        <f t="shared" si="0"/>
        <v>(토)</v>
      </c>
      <c r="D54" s="152"/>
      <c r="E54" s="153"/>
      <c r="F54" s="154" t="str">
        <f t="shared" si="1"/>
        <v/>
      </c>
      <c r="G54" s="152"/>
      <c r="H54" s="153"/>
      <c r="I54" s="154" t="str">
        <f t="shared" si="2"/>
        <v/>
      </c>
    </row>
    <row r="55" spans="1:9">
      <c r="A55" s="152" t="s">
        <v>834</v>
      </c>
      <c r="B55" s="153">
        <v>42519</v>
      </c>
      <c r="C55" s="154" t="str">
        <f t="shared" si="0"/>
        <v>(일)</v>
      </c>
      <c r="D55" s="152"/>
      <c r="E55" s="153"/>
      <c r="F55" s="154" t="str">
        <f t="shared" si="1"/>
        <v/>
      </c>
      <c r="G55" s="152"/>
      <c r="H55" s="153"/>
      <c r="I55" s="154" t="str">
        <f t="shared" si="2"/>
        <v/>
      </c>
    </row>
    <row r="56" spans="1:9">
      <c r="A56" s="152" t="s">
        <v>837</v>
      </c>
      <c r="B56" s="153">
        <v>42525</v>
      </c>
      <c r="C56" s="154" t="str">
        <f t="shared" si="0"/>
        <v>(토)</v>
      </c>
      <c r="D56" s="152"/>
      <c r="E56" s="153"/>
      <c r="F56" s="154" t="str">
        <f t="shared" si="1"/>
        <v/>
      </c>
      <c r="G56" s="152"/>
      <c r="H56" s="153"/>
      <c r="I56" s="154" t="str">
        <f t="shared" si="2"/>
        <v/>
      </c>
    </row>
    <row r="57" spans="1:9">
      <c r="A57" s="152" t="s">
        <v>837</v>
      </c>
      <c r="B57" s="153">
        <v>42526</v>
      </c>
      <c r="C57" s="154" t="str">
        <f t="shared" si="0"/>
        <v>(일)</v>
      </c>
      <c r="D57" s="152"/>
      <c r="E57" s="153"/>
      <c r="F57" s="154" t="str">
        <f t="shared" si="1"/>
        <v/>
      </c>
      <c r="G57" s="152"/>
      <c r="H57" s="153"/>
      <c r="I57" s="154" t="str">
        <f t="shared" si="2"/>
        <v/>
      </c>
    </row>
    <row r="58" spans="1:9">
      <c r="A58" s="152" t="s">
        <v>838</v>
      </c>
      <c r="B58" s="153">
        <v>42527</v>
      </c>
      <c r="C58" s="154" t="str">
        <f t="shared" si="0"/>
        <v>(월)</v>
      </c>
      <c r="D58" s="152"/>
      <c r="E58" s="153"/>
      <c r="F58" s="154" t="str">
        <f t="shared" si="1"/>
        <v/>
      </c>
      <c r="G58" s="152"/>
      <c r="H58" s="153"/>
      <c r="I58" s="154" t="str">
        <f t="shared" si="2"/>
        <v/>
      </c>
    </row>
    <row r="59" spans="1:9">
      <c r="A59" s="152" t="s">
        <v>837</v>
      </c>
      <c r="B59" s="153">
        <v>42532</v>
      </c>
      <c r="C59" s="154" t="str">
        <f t="shared" si="0"/>
        <v>(토)</v>
      </c>
      <c r="D59" s="152"/>
      <c r="E59" s="153"/>
      <c r="F59" s="154" t="str">
        <f t="shared" si="1"/>
        <v/>
      </c>
      <c r="G59" s="152"/>
      <c r="H59" s="153"/>
      <c r="I59" s="154" t="str">
        <f t="shared" si="2"/>
        <v/>
      </c>
    </row>
    <row r="60" spans="1:9">
      <c r="A60" s="152" t="s">
        <v>837</v>
      </c>
      <c r="B60" s="153">
        <v>42533</v>
      </c>
      <c r="C60" s="154" t="str">
        <f t="shared" si="0"/>
        <v>(일)</v>
      </c>
      <c r="D60" s="152"/>
      <c r="E60" s="153"/>
      <c r="F60" s="154" t="str">
        <f t="shared" si="1"/>
        <v/>
      </c>
      <c r="G60" s="152"/>
      <c r="H60" s="153"/>
      <c r="I60" s="154" t="str">
        <f t="shared" si="2"/>
        <v/>
      </c>
    </row>
    <row r="61" spans="1:9">
      <c r="A61" s="152" t="s">
        <v>837</v>
      </c>
      <c r="B61" s="153">
        <v>42539</v>
      </c>
      <c r="C61" s="154" t="str">
        <f t="shared" si="0"/>
        <v>(토)</v>
      </c>
      <c r="D61" s="152"/>
      <c r="E61" s="153"/>
      <c r="F61" s="154" t="str">
        <f t="shared" si="1"/>
        <v/>
      </c>
      <c r="G61" s="152"/>
      <c r="H61" s="153"/>
      <c r="I61" s="154" t="str">
        <f t="shared" si="2"/>
        <v/>
      </c>
    </row>
    <row r="62" spans="1:9">
      <c r="A62" s="152" t="s">
        <v>837</v>
      </c>
      <c r="B62" s="153">
        <v>42540</v>
      </c>
      <c r="C62" s="154" t="str">
        <f t="shared" si="0"/>
        <v>(일)</v>
      </c>
      <c r="D62" s="152"/>
      <c r="E62" s="153"/>
      <c r="F62" s="154" t="str">
        <f t="shared" si="1"/>
        <v/>
      </c>
      <c r="G62" s="152"/>
      <c r="H62" s="153"/>
      <c r="I62" s="154" t="str">
        <f t="shared" si="2"/>
        <v/>
      </c>
    </row>
    <row r="63" spans="1:9">
      <c r="A63" s="152" t="s">
        <v>837</v>
      </c>
      <c r="B63" s="153">
        <v>42546</v>
      </c>
      <c r="C63" s="154" t="str">
        <f t="shared" si="0"/>
        <v>(토)</v>
      </c>
      <c r="D63" s="152"/>
      <c r="E63" s="153"/>
      <c r="F63" s="154" t="str">
        <f t="shared" si="1"/>
        <v/>
      </c>
      <c r="G63" s="152"/>
      <c r="H63" s="153"/>
      <c r="I63" s="154" t="str">
        <f t="shared" si="2"/>
        <v/>
      </c>
    </row>
    <row r="64" spans="1:9">
      <c r="A64" s="152" t="s">
        <v>837</v>
      </c>
      <c r="B64" s="153">
        <v>42547</v>
      </c>
      <c r="C64" s="154" t="str">
        <f t="shared" si="0"/>
        <v>(일)</v>
      </c>
      <c r="D64" s="152"/>
      <c r="E64" s="153"/>
      <c r="F64" s="154" t="str">
        <f t="shared" si="1"/>
        <v/>
      </c>
      <c r="G64" s="152"/>
      <c r="H64" s="153"/>
      <c r="I64" s="154" t="str">
        <f t="shared" si="2"/>
        <v/>
      </c>
    </row>
    <row r="65" spans="1:9">
      <c r="A65" s="152" t="s">
        <v>839</v>
      </c>
      <c r="B65" s="153">
        <v>42553</v>
      </c>
      <c r="C65" s="154" t="str">
        <f t="shared" si="0"/>
        <v>(토)</v>
      </c>
      <c r="D65" s="152"/>
      <c r="E65" s="153"/>
      <c r="F65" s="154" t="str">
        <f t="shared" si="1"/>
        <v/>
      </c>
      <c r="G65" s="152"/>
      <c r="H65" s="153"/>
      <c r="I65" s="154" t="str">
        <f t="shared" si="2"/>
        <v/>
      </c>
    </row>
    <row r="66" spans="1:9">
      <c r="A66" s="152" t="s">
        <v>839</v>
      </c>
      <c r="B66" s="153">
        <v>42554</v>
      </c>
      <c r="C66" s="154" t="str">
        <f t="shared" si="0"/>
        <v>(일)</v>
      </c>
      <c r="D66" s="152"/>
      <c r="E66" s="153"/>
      <c r="F66" s="154" t="str">
        <f t="shared" si="1"/>
        <v/>
      </c>
      <c r="G66" s="152"/>
      <c r="H66" s="153"/>
      <c r="I66" s="154" t="str">
        <f t="shared" si="2"/>
        <v/>
      </c>
    </row>
    <row r="67" spans="1:9">
      <c r="A67" s="152" t="s">
        <v>839</v>
      </c>
      <c r="B67" s="153">
        <v>42560</v>
      </c>
      <c r="C67" s="154" t="str">
        <f t="shared" si="0"/>
        <v>(토)</v>
      </c>
      <c r="D67" s="152"/>
      <c r="E67" s="153"/>
      <c r="F67" s="154" t="str">
        <f t="shared" si="1"/>
        <v/>
      </c>
      <c r="G67" s="152"/>
      <c r="H67" s="153"/>
      <c r="I67" s="154" t="str">
        <f t="shared" si="2"/>
        <v/>
      </c>
    </row>
    <row r="68" spans="1:9">
      <c r="A68" s="152" t="s">
        <v>839</v>
      </c>
      <c r="B68" s="153">
        <v>42561</v>
      </c>
      <c r="C68" s="154" t="str">
        <f t="shared" si="0"/>
        <v>(일)</v>
      </c>
      <c r="D68" s="152"/>
      <c r="E68" s="153"/>
      <c r="F68" s="154" t="str">
        <f t="shared" si="1"/>
        <v/>
      </c>
      <c r="G68" s="152"/>
      <c r="H68" s="153"/>
      <c r="I68" s="154" t="str">
        <f t="shared" si="2"/>
        <v/>
      </c>
    </row>
    <row r="69" spans="1:9">
      <c r="A69" s="152" t="s">
        <v>839</v>
      </c>
      <c r="B69" s="153">
        <v>42567</v>
      </c>
      <c r="C69" s="154" t="str">
        <f t="shared" ref="C69:C132" si="3">IF(B69&gt;0,TEXT(B69,"(aaa)"),"")</f>
        <v>(토)</v>
      </c>
      <c r="D69" s="152"/>
      <c r="E69" s="153"/>
      <c r="F69" s="154" t="str">
        <f t="shared" ref="F69:F132" si="4">IF(E69&gt;0,TEXT(E69,"(aaa)"),"")</f>
        <v/>
      </c>
      <c r="G69" s="152"/>
      <c r="H69" s="153"/>
      <c r="I69" s="154" t="str">
        <f t="shared" ref="I69:I132" si="5">IF(H69&gt;0,TEXT(H69,"(aaa)"),"")</f>
        <v/>
      </c>
    </row>
    <row r="70" spans="1:9">
      <c r="A70" s="152" t="s">
        <v>839</v>
      </c>
      <c r="B70" s="153">
        <v>42568</v>
      </c>
      <c r="C70" s="154" t="str">
        <f t="shared" si="3"/>
        <v>(일)</v>
      </c>
      <c r="D70" s="152"/>
      <c r="E70" s="153"/>
      <c r="F70" s="154" t="str">
        <f t="shared" si="4"/>
        <v/>
      </c>
      <c r="G70" s="152"/>
      <c r="H70" s="153"/>
      <c r="I70" s="154" t="str">
        <f t="shared" si="5"/>
        <v/>
      </c>
    </row>
    <row r="71" spans="1:9">
      <c r="A71" s="152" t="s">
        <v>839</v>
      </c>
      <c r="B71" s="153">
        <v>42574</v>
      </c>
      <c r="C71" s="154" t="str">
        <f t="shared" si="3"/>
        <v>(토)</v>
      </c>
      <c r="D71" s="152"/>
      <c r="E71" s="153"/>
      <c r="F71" s="154" t="str">
        <f t="shared" si="4"/>
        <v/>
      </c>
      <c r="G71" s="152"/>
      <c r="H71" s="153"/>
      <c r="I71" s="154" t="str">
        <f t="shared" si="5"/>
        <v/>
      </c>
    </row>
    <row r="72" spans="1:9">
      <c r="A72" s="152" t="s">
        <v>839</v>
      </c>
      <c r="B72" s="153">
        <v>42575</v>
      </c>
      <c r="C72" s="154" t="str">
        <f t="shared" si="3"/>
        <v>(일)</v>
      </c>
      <c r="D72" s="152"/>
      <c r="E72" s="153"/>
      <c r="F72" s="154" t="str">
        <f t="shared" si="4"/>
        <v/>
      </c>
      <c r="G72" s="152"/>
      <c r="H72" s="153"/>
      <c r="I72" s="154" t="str">
        <f t="shared" si="5"/>
        <v/>
      </c>
    </row>
    <row r="73" spans="1:9">
      <c r="A73" s="152" t="s">
        <v>839</v>
      </c>
      <c r="B73" s="153">
        <v>42581</v>
      </c>
      <c r="C73" s="154" t="str">
        <f t="shared" si="3"/>
        <v>(토)</v>
      </c>
      <c r="D73" s="152"/>
      <c r="E73" s="153"/>
      <c r="F73" s="154" t="str">
        <f t="shared" si="4"/>
        <v/>
      </c>
      <c r="G73" s="152"/>
      <c r="H73" s="153"/>
      <c r="I73" s="154" t="str">
        <f t="shared" si="5"/>
        <v/>
      </c>
    </row>
    <row r="74" spans="1:9">
      <c r="A74" s="152" t="s">
        <v>839</v>
      </c>
      <c r="B74" s="153">
        <v>42582</v>
      </c>
      <c r="C74" s="154" t="str">
        <f t="shared" si="3"/>
        <v>(일)</v>
      </c>
      <c r="D74" s="152"/>
      <c r="E74" s="153"/>
      <c r="F74" s="154" t="str">
        <f t="shared" si="4"/>
        <v/>
      </c>
      <c r="G74" s="152"/>
      <c r="H74" s="153"/>
      <c r="I74" s="154" t="str">
        <f t="shared" si="5"/>
        <v/>
      </c>
    </row>
    <row r="75" spans="1:9">
      <c r="A75" s="152" t="s">
        <v>840</v>
      </c>
      <c r="B75" s="153">
        <v>42588</v>
      </c>
      <c r="C75" s="154" t="str">
        <f t="shared" si="3"/>
        <v>(토)</v>
      </c>
      <c r="D75" s="152"/>
      <c r="E75" s="153"/>
      <c r="F75" s="154" t="str">
        <f t="shared" si="4"/>
        <v/>
      </c>
      <c r="G75" s="152"/>
      <c r="H75" s="153"/>
      <c r="I75" s="154" t="str">
        <f t="shared" si="5"/>
        <v/>
      </c>
    </row>
    <row r="76" spans="1:9">
      <c r="A76" s="152" t="s">
        <v>840</v>
      </c>
      <c r="B76" s="153">
        <v>42589</v>
      </c>
      <c r="C76" s="154" t="str">
        <f t="shared" si="3"/>
        <v>(일)</v>
      </c>
      <c r="D76" s="152"/>
      <c r="E76" s="153"/>
      <c r="F76" s="154" t="str">
        <f t="shared" si="4"/>
        <v/>
      </c>
      <c r="G76" s="152"/>
      <c r="H76" s="153"/>
      <c r="I76" s="154" t="str">
        <f t="shared" si="5"/>
        <v/>
      </c>
    </row>
    <row r="77" spans="1:9">
      <c r="A77" s="152" t="s">
        <v>840</v>
      </c>
      <c r="B77" s="153">
        <v>42595</v>
      </c>
      <c r="C77" s="154" t="str">
        <f t="shared" si="3"/>
        <v>(토)</v>
      </c>
      <c r="D77" s="152"/>
      <c r="E77" s="153"/>
      <c r="F77" s="154" t="str">
        <f t="shared" si="4"/>
        <v/>
      </c>
      <c r="G77" s="152"/>
      <c r="H77" s="153"/>
      <c r="I77" s="154" t="str">
        <f t="shared" si="5"/>
        <v/>
      </c>
    </row>
    <row r="78" spans="1:9">
      <c r="A78" s="152" t="s">
        <v>840</v>
      </c>
      <c r="B78" s="153">
        <v>42596</v>
      </c>
      <c r="C78" s="154" t="str">
        <f t="shared" si="3"/>
        <v>(일)</v>
      </c>
      <c r="D78" s="152"/>
      <c r="E78" s="153"/>
      <c r="F78" s="154" t="str">
        <f t="shared" si="4"/>
        <v/>
      </c>
      <c r="G78" s="152"/>
      <c r="H78" s="153"/>
      <c r="I78" s="154" t="str">
        <f t="shared" si="5"/>
        <v/>
      </c>
    </row>
    <row r="79" spans="1:9">
      <c r="A79" s="152" t="s">
        <v>841</v>
      </c>
      <c r="B79" s="153">
        <v>42597</v>
      </c>
      <c r="C79" s="154" t="str">
        <f t="shared" si="3"/>
        <v>(월)</v>
      </c>
      <c r="D79" s="152"/>
      <c r="E79" s="153"/>
      <c r="F79" s="154" t="str">
        <f t="shared" si="4"/>
        <v/>
      </c>
      <c r="G79" s="152"/>
      <c r="H79" s="153"/>
      <c r="I79" s="154" t="str">
        <f t="shared" si="5"/>
        <v/>
      </c>
    </row>
    <row r="80" spans="1:9">
      <c r="A80" s="152" t="s">
        <v>840</v>
      </c>
      <c r="B80" s="153">
        <v>42602</v>
      </c>
      <c r="C80" s="154" t="str">
        <f t="shared" si="3"/>
        <v>(토)</v>
      </c>
      <c r="D80" s="152"/>
      <c r="E80" s="153"/>
      <c r="F80" s="154" t="str">
        <f t="shared" si="4"/>
        <v/>
      </c>
      <c r="G80" s="152"/>
      <c r="H80" s="153"/>
      <c r="I80" s="154" t="str">
        <f t="shared" si="5"/>
        <v/>
      </c>
    </row>
    <row r="81" spans="1:9">
      <c r="A81" s="152" t="s">
        <v>840</v>
      </c>
      <c r="B81" s="153">
        <v>42603</v>
      </c>
      <c r="C81" s="154" t="str">
        <f t="shared" si="3"/>
        <v>(일)</v>
      </c>
      <c r="D81" s="152"/>
      <c r="E81" s="153"/>
      <c r="F81" s="154" t="str">
        <f t="shared" si="4"/>
        <v/>
      </c>
      <c r="G81" s="152"/>
      <c r="H81" s="153"/>
      <c r="I81" s="154" t="str">
        <f t="shared" si="5"/>
        <v/>
      </c>
    </row>
    <row r="82" spans="1:9">
      <c r="A82" s="152" t="s">
        <v>840</v>
      </c>
      <c r="B82" s="153">
        <v>42609</v>
      </c>
      <c r="C82" s="154" t="str">
        <f t="shared" si="3"/>
        <v>(토)</v>
      </c>
      <c r="D82" s="152"/>
      <c r="E82" s="153"/>
      <c r="F82" s="154" t="str">
        <f t="shared" si="4"/>
        <v/>
      </c>
      <c r="G82" s="152"/>
      <c r="H82" s="153"/>
      <c r="I82" s="154" t="str">
        <f t="shared" si="5"/>
        <v/>
      </c>
    </row>
    <row r="83" spans="1:9">
      <c r="A83" s="152" t="s">
        <v>840</v>
      </c>
      <c r="B83" s="153">
        <v>42610</v>
      </c>
      <c r="C83" s="154" t="str">
        <f t="shared" si="3"/>
        <v>(일)</v>
      </c>
      <c r="D83" s="152"/>
      <c r="E83" s="153"/>
      <c r="F83" s="154" t="str">
        <f t="shared" si="4"/>
        <v/>
      </c>
      <c r="G83" s="152"/>
      <c r="H83" s="153"/>
      <c r="I83" s="154" t="str">
        <f t="shared" si="5"/>
        <v/>
      </c>
    </row>
    <row r="84" spans="1:9">
      <c r="A84" s="152" t="s">
        <v>842</v>
      </c>
      <c r="B84" s="153">
        <v>42616</v>
      </c>
      <c r="C84" s="154" t="str">
        <f t="shared" si="3"/>
        <v>(토)</v>
      </c>
      <c r="D84" s="152"/>
      <c r="E84" s="153"/>
      <c r="F84" s="154" t="str">
        <f t="shared" si="4"/>
        <v/>
      </c>
      <c r="G84" s="152"/>
      <c r="H84" s="153"/>
      <c r="I84" s="154" t="str">
        <f t="shared" si="5"/>
        <v/>
      </c>
    </row>
    <row r="85" spans="1:9">
      <c r="A85" s="152" t="s">
        <v>842</v>
      </c>
      <c r="B85" s="153">
        <v>42617</v>
      </c>
      <c r="C85" s="154" t="str">
        <f t="shared" si="3"/>
        <v>(일)</v>
      </c>
      <c r="D85" s="152"/>
      <c r="E85" s="153"/>
      <c r="F85" s="154" t="str">
        <f t="shared" si="4"/>
        <v/>
      </c>
      <c r="G85" s="152"/>
      <c r="H85" s="153"/>
      <c r="I85" s="154" t="str">
        <f t="shared" si="5"/>
        <v/>
      </c>
    </row>
    <row r="86" spans="1:9">
      <c r="A86" s="152" t="s">
        <v>842</v>
      </c>
      <c r="B86" s="153">
        <v>42623</v>
      </c>
      <c r="C86" s="154" t="str">
        <f t="shared" si="3"/>
        <v>(토)</v>
      </c>
      <c r="D86" s="152"/>
      <c r="E86" s="153"/>
      <c r="F86" s="154" t="str">
        <f t="shared" si="4"/>
        <v/>
      </c>
      <c r="G86" s="152"/>
      <c r="H86" s="153"/>
      <c r="I86" s="154" t="str">
        <f t="shared" si="5"/>
        <v/>
      </c>
    </row>
    <row r="87" spans="1:9">
      <c r="A87" s="152" t="s">
        <v>842</v>
      </c>
      <c r="B87" s="153">
        <v>42624</v>
      </c>
      <c r="C87" s="154" t="str">
        <f t="shared" si="3"/>
        <v>(일)</v>
      </c>
      <c r="D87" s="152"/>
      <c r="E87" s="153"/>
      <c r="F87" s="154" t="str">
        <f t="shared" si="4"/>
        <v/>
      </c>
      <c r="G87" s="152"/>
      <c r="H87" s="153"/>
      <c r="I87" s="154" t="str">
        <f t="shared" si="5"/>
        <v/>
      </c>
    </row>
    <row r="88" spans="1:9">
      <c r="A88" s="152" t="s">
        <v>843</v>
      </c>
      <c r="B88" s="153">
        <v>42627</v>
      </c>
      <c r="C88" s="154" t="str">
        <f t="shared" si="3"/>
        <v>(수)</v>
      </c>
      <c r="D88" s="152"/>
      <c r="E88" s="153"/>
      <c r="F88" s="154" t="str">
        <f t="shared" si="4"/>
        <v/>
      </c>
      <c r="G88" s="152"/>
      <c r="H88" s="153"/>
      <c r="I88" s="154" t="str">
        <f t="shared" si="5"/>
        <v/>
      </c>
    </row>
    <row r="89" spans="1:9">
      <c r="A89" s="152" t="s">
        <v>844</v>
      </c>
      <c r="B89" s="153">
        <v>42628</v>
      </c>
      <c r="C89" s="154" t="str">
        <f t="shared" si="3"/>
        <v>(목)</v>
      </c>
      <c r="D89" s="152"/>
      <c r="E89" s="153"/>
      <c r="F89" s="154" t="str">
        <f t="shared" si="4"/>
        <v/>
      </c>
      <c r="G89" s="152"/>
      <c r="H89" s="153"/>
      <c r="I89" s="154" t="str">
        <f t="shared" si="5"/>
        <v/>
      </c>
    </row>
    <row r="90" spans="1:9">
      <c r="A90" s="152" t="s">
        <v>843</v>
      </c>
      <c r="B90" s="153">
        <v>42629</v>
      </c>
      <c r="C90" s="154" t="str">
        <f t="shared" si="3"/>
        <v>(금)</v>
      </c>
      <c r="D90" s="152"/>
      <c r="E90" s="153"/>
      <c r="F90" s="154" t="str">
        <f t="shared" si="4"/>
        <v/>
      </c>
      <c r="G90" s="152"/>
      <c r="H90" s="153"/>
      <c r="I90" s="154" t="str">
        <f t="shared" si="5"/>
        <v/>
      </c>
    </row>
    <row r="91" spans="1:9">
      <c r="A91" s="152" t="s">
        <v>842</v>
      </c>
      <c r="B91" s="153">
        <v>42630</v>
      </c>
      <c r="C91" s="154" t="str">
        <f t="shared" si="3"/>
        <v>(토)</v>
      </c>
      <c r="D91" s="152"/>
      <c r="E91" s="153"/>
      <c r="F91" s="154" t="str">
        <f t="shared" si="4"/>
        <v/>
      </c>
      <c r="G91" s="152"/>
      <c r="H91" s="153"/>
      <c r="I91" s="154" t="str">
        <f t="shared" si="5"/>
        <v/>
      </c>
    </row>
    <row r="92" spans="1:9">
      <c r="A92" s="152" t="s">
        <v>842</v>
      </c>
      <c r="B92" s="153">
        <v>42631</v>
      </c>
      <c r="C92" s="154" t="str">
        <f t="shared" si="3"/>
        <v>(일)</v>
      </c>
      <c r="D92" s="152"/>
      <c r="E92" s="153"/>
      <c r="F92" s="154" t="str">
        <f t="shared" si="4"/>
        <v/>
      </c>
      <c r="G92" s="152"/>
      <c r="H92" s="153"/>
      <c r="I92" s="154" t="str">
        <f t="shared" si="5"/>
        <v/>
      </c>
    </row>
    <row r="93" spans="1:9">
      <c r="A93" s="152" t="s">
        <v>842</v>
      </c>
      <c r="B93" s="153">
        <v>42637</v>
      </c>
      <c r="C93" s="154" t="str">
        <f t="shared" si="3"/>
        <v>(토)</v>
      </c>
      <c r="D93" s="152"/>
      <c r="E93" s="153"/>
      <c r="F93" s="154" t="str">
        <f t="shared" si="4"/>
        <v/>
      </c>
      <c r="G93" s="152"/>
      <c r="H93" s="153"/>
      <c r="I93" s="154" t="str">
        <f t="shared" si="5"/>
        <v/>
      </c>
    </row>
    <row r="94" spans="1:9">
      <c r="A94" s="152" t="s">
        <v>842</v>
      </c>
      <c r="B94" s="153">
        <v>42638</v>
      </c>
      <c r="C94" s="154" t="str">
        <f t="shared" si="3"/>
        <v>(일)</v>
      </c>
      <c r="D94" s="152"/>
      <c r="E94" s="153"/>
      <c r="F94" s="154" t="str">
        <f t="shared" si="4"/>
        <v/>
      </c>
      <c r="G94" s="152"/>
      <c r="H94" s="153"/>
      <c r="I94" s="154" t="str">
        <f t="shared" si="5"/>
        <v/>
      </c>
    </row>
    <row r="95" spans="1:9">
      <c r="A95" s="152" t="s">
        <v>845</v>
      </c>
      <c r="B95" s="153">
        <v>42644</v>
      </c>
      <c r="C95" s="154" t="str">
        <f t="shared" si="3"/>
        <v>(토)</v>
      </c>
      <c r="D95" s="152"/>
      <c r="E95" s="153"/>
      <c r="F95" s="154" t="str">
        <f t="shared" si="4"/>
        <v/>
      </c>
      <c r="G95" s="152"/>
      <c r="H95" s="153"/>
      <c r="I95" s="154" t="str">
        <f t="shared" si="5"/>
        <v/>
      </c>
    </row>
    <row r="96" spans="1:9">
      <c r="A96" s="152" t="s">
        <v>845</v>
      </c>
      <c r="B96" s="153">
        <v>42645</v>
      </c>
      <c r="C96" s="154" t="str">
        <f t="shared" si="3"/>
        <v>(일)</v>
      </c>
      <c r="D96" s="152"/>
      <c r="E96" s="153"/>
      <c r="F96" s="154" t="str">
        <f t="shared" si="4"/>
        <v/>
      </c>
      <c r="G96" s="152"/>
      <c r="H96" s="153"/>
      <c r="I96" s="154" t="str">
        <f t="shared" si="5"/>
        <v/>
      </c>
    </row>
    <row r="97" spans="1:9">
      <c r="A97" s="152" t="s">
        <v>846</v>
      </c>
      <c r="B97" s="153">
        <v>42646</v>
      </c>
      <c r="C97" s="154" t="str">
        <f t="shared" si="3"/>
        <v>(월)</v>
      </c>
      <c r="D97" s="152"/>
      <c r="E97" s="153"/>
      <c r="F97" s="154" t="str">
        <f t="shared" si="4"/>
        <v/>
      </c>
      <c r="G97" s="152"/>
      <c r="H97" s="153"/>
      <c r="I97" s="154" t="str">
        <f t="shared" si="5"/>
        <v/>
      </c>
    </row>
    <row r="98" spans="1:9">
      <c r="A98" s="152" t="s">
        <v>845</v>
      </c>
      <c r="B98" s="153">
        <v>42651</v>
      </c>
      <c r="C98" s="154" t="str">
        <f t="shared" si="3"/>
        <v>(토)</v>
      </c>
      <c r="D98" s="152"/>
      <c r="E98" s="153"/>
      <c r="F98" s="154" t="str">
        <f t="shared" si="4"/>
        <v/>
      </c>
      <c r="G98" s="152"/>
      <c r="H98" s="153"/>
      <c r="I98" s="154" t="str">
        <f t="shared" si="5"/>
        <v/>
      </c>
    </row>
    <row r="99" spans="1:9">
      <c r="A99" s="152" t="s">
        <v>847</v>
      </c>
      <c r="B99" s="153">
        <v>42652</v>
      </c>
      <c r="C99" s="154" t="str">
        <f t="shared" si="3"/>
        <v>(일)</v>
      </c>
      <c r="D99" s="152"/>
      <c r="E99" s="153"/>
      <c r="F99" s="154" t="str">
        <f t="shared" si="4"/>
        <v/>
      </c>
      <c r="G99" s="152"/>
      <c r="H99" s="153"/>
      <c r="I99" s="154" t="str">
        <f t="shared" si="5"/>
        <v/>
      </c>
    </row>
    <row r="100" spans="1:9">
      <c r="A100" s="152" t="s">
        <v>845</v>
      </c>
      <c r="B100" s="153">
        <v>42658</v>
      </c>
      <c r="C100" s="154" t="str">
        <f t="shared" si="3"/>
        <v>(토)</v>
      </c>
      <c r="D100" s="152"/>
      <c r="E100" s="153"/>
      <c r="F100" s="154" t="str">
        <f t="shared" si="4"/>
        <v/>
      </c>
      <c r="G100" s="152"/>
      <c r="H100" s="153"/>
      <c r="I100" s="154" t="str">
        <f t="shared" si="5"/>
        <v/>
      </c>
    </row>
    <row r="101" spans="1:9">
      <c r="A101" s="152" t="s">
        <v>845</v>
      </c>
      <c r="B101" s="153">
        <v>42659</v>
      </c>
      <c r="C101" s="154" t="str">
        <f t="shared" si="3"/>
        <v>(일)</v>
      </c>
      <c r="D101" s="152"/>
      <c r="E101" s="153"/>
      <c r="F101" s="154" t="str">
        <f t="shared" si="4"/>
        <v/>
      </c>
      <c r="G101" s="152"/>
      <c r="H101" s="153"/>
      <c r="I101" s="154" t="str">
        <f t="shared" si="5"/>
        <v/>
      </c>
    </row>
    <row r="102" spans="1:9">
      <c r="A102" s="152" t="s">
        <v>845</v>
      </c>
      <c r="B102" s="153">
        <v>42665</v>
      </c>
      <c r="C102" s="154" t="str">
        <f t="shared" si="3"/>
        <v>(토)</v>
      </c>
      <c r="D102" s="152"/>
      <c r="E102" s="153"/>
      <c r="F102" s="154" t="str">
        <f t="shared" si="4"/>
        <v/>
      </c>
      <c r="G102" s="152"/>
      <c r="H102" s="153"/>
      <c r="I102" s="154" t="str">
        <f t="shared" si="5"/>
        <v/>
      </c>
    </row>
    <row r="103" spans="1:9">
      <c r="A103" s="152" t="s">
        <v>845</v>
      </c>
      <c r="B103" s="153">
        <v>42666</v>
      </c>
      <c r="C103" s="154" t="str">
        <f t="shared" si="3"/>
        <v>(일)</v>
      </c>
      <c r="D103" s="152"/>
      <c r="E103" s="153"/>
      <c r="F103" s="154" t="str">
        <f t="shared" si="4"/>
        <v/>
      </c>
      <c r="G103" s="152"/>
      <c r="H103" s="153"/>
      <c r="I103" s="154" t="str">
        <f t="shared" si="5"/>
        <v/>
      </c>
    </row>
    <row r="104" spans="1:9">
      <c r="A104" s="152" t="s">
        <v>845</v>
      </c>
      <c r="B104" s="153">
        <v>42672</v>
      </c>
      <c r="C104" s="154" t="str">
        <f t="shared" si="3"/>
        <v>(토)</v>
      </c>
      <c r="D104" s="152"/>
      <c r="E104" s="153"/>
      <c r="F104" s="154" t="str">
        <f t="shared" si="4"/>
        <v/>
      </c>
      <c r="G104" s="152"/>
      <c r="H104" s="153"/>
      <c r="I104" s="154" t="str">
        <f t="shared" si="5"/>
        <v/>
      </c>
    </row>
    <row r="105" spans="1:9">
      <c r="A105" s="152" t="s">
        <v>845</v>
      </c>
      <c r="B105" s="153">
        <v>42673</v>
      </c>
      <c r="C105" s="154" t="str">
        <f t="shared" si="3"/>
        <v>(일)</v>
      </c>
      <c r="D105" s="152"/>
      <c r="E105" s="153"/>
      <c r="F105" s="154" t="str">
        <f t="shared" si="4"/>
        <v/>
      </c>
      <c r="G105" s="152"/>
      <c r="H105" s="153"/>
      <c r="I105" s="154" t="str">
        <f t="shared" si="5"/>
        <v/>
      </c>
    </row>
    <row r="106" spans="1:9">
      <c r="A106" s="152" t="s">
        <v>848</v>
      </c>
      <c r="B106" s="153">
        <v>42679</v>
      </c>
      <c r="C106" s="154" t="str">
        <f t="shared" si="3"/>
        <v>(토)</v>
      </c>
      <c r="D106" s="152"/>
      <c r="E106" s="153"/>
      <c r="F106" s="154" t="str">
        <f t="shared" si="4"/>
        <v/>
      </c>
      <c r="G106" s="152"/>
      <c r="H106" s="153"/>
      <c r="I106" s="154" t="str">
        <f t="shared" si="5"/>
        <v/>
      </c>
    </row>
    <row r="107" spans="1:9">
      <c r="A107" s="152" t="s">
        <v>848</v>
      </c>
      <c r="B107" s="153">
        <v>42680</v>
      </c>
      <c r="C107" s="154" t="str">
        <f t="shared" si="3"/>
        <v>(일)</v>
      </c>
      <c r="D107" s="152"/>
      <c r="E107" s="153"/>
      <c r="F107" s="154" t="str">
        <f t="shared" si="4"/>
        <v/>
      </c>
      <c r="G107" s="152"/>
      <c r="H107" s="153"/>
      <c r="I107" s="154" t="str">
        <f t="shared" si="5"/>
        <v/>
      </c>
    </row>
    <row r="108" spans="1:9">
      <c r="A108" s="152" t="s">
        <v>848</v>
      </c>
      <c r="B108" s="153">
        <v>42686</v>
      </c>
      <c r="C108" s="154" t="str">
        <f t="shared" si="3"/>
        <v>(토)</v>
      </c>
      <c r="D108" s="152"/>
      <c r="E108" s="153"/>
      <c r="F108" s="154" t="str">
        <f t="shared" si="4"/>
        <v/>
      </c>
      <c r="G108" s="152"/>
      <c r="H108" s="153"/>
      <c r="I108" s="154" t="str">
        <f t="shared" si="5"/>
        <v/>
      </c>
    </row>
    <row r="109" spans="1:9">
      <c r="A109" s="152" t="s">
        <v>848</v>
      </c>
      <c r="B109" s="153">
        <v>42687</v>
      </c>
      <c r="C109" s="154" t="str">
        <f t="shared" si="3"/>
        <v>(일)</v>
      </c>
      <c r="D109" s="152"/>
      <c r="E109" s="153"/>
      <c r="F109" s="154" t="str">
        <f t="shared" si="4"/>
        <v/>
      </c>
      <c r="G109" s="152"/>
      <c r="H109" s="153"/>
      <c r="I109" s="154" t="str">
        <f t="shared" si="5"/>
        <v/>
      </c>
    </row>
    <row r="110" spans="1:9">
      <c r="A110" s="152" t="s">
        <v>848</v>
      </c>
      <c r="B110" s="153">
        <v>42693</v>
      </c>
      <c r="C110" s="154" t="str">
        <f t="shared" si="3"/>
        <v>(토)</v>
      </c>
      <c r="D110" s="152"/>
      <c r="E110" s="153"/>
      <c r="F110" s="154" t="str">
        <f t="shared" si="4"/>
        <v/>
      </c>
      <c r="G110" s="152"/>
      <c r="H110" s="153"/>
      <c r="I110" s="154" t="str">
        <f t="shared" si="5"/>
        <v/>
      </c>
    </row>
    <row r="111" spans="1:9">
      <c r="A111" s="152" t="s">
        <v>848</v>
      </c>
      <c r="B111" s="153">
        <v>42694</v>
      </c>
      <c r="C111" s="154" t="str">
        <f t="shared" si="3"/>
        <v>(일)</v>
      </c>
      <c r="D111" s="152"/>
      <c r="E111" s="153"/>
      <c r="F111" s="154" t="str">
        <f t="shared" si="4"/>
        <v/>
      </c>
      <c r="G111" s="152"/>
      <c r="H111" s="153"/>
      <c r="I111" s="154" t="str">
        <f t="shared" si="5"/>
        <v/>
      </c>
    </row>
    <row r="112" spans="1:9">
      <c r="A112" s="152" t="s">
        <v>848</v>
      </c>
      <c r="B112" s="153">
        <v>42700</v>
      </c>
      <c r="C112" s="154" t="str">
        <f t="shared" si="3"/>
        <v>(토)</v>
      </c>
      <c r="D112" s="152"/>
      <c r="E112" s="153"/>
      <c r="F112" s="154" t="str">
        <f t="shared" si="4"/>
        <v/>
      </c>
      <c r="G112" s="152"/>
      <c r="H112" s="153"/>
      <c r="I112" s="154" t="str">
        <f t="shared" si="5"/>
        <v/>
      </c>
    </row>
    <row r="113" spans="1:9">
      <c r="A113" s="152" t="s">
        <v>848</v>
      </c>
      <c r="B113" s="153">
        <v>42701</v>
      </c>
      <c r="C113" s="154" t="str">
        <f t="shared" si="3"/>
        <v>(일)</v>
      </c>
      <c r="D113" s="152"/>
      <c r="E113" s="153"/>
      <c r="F113" s="154" t="str">
        <f t="shared" si="4"/>
        <v/>
      </c>
      <c r="G113" s="152"/>
      <c r="H113" s="153"/>
      <c r="I113" s="154" t="str">
        <f t="shared" si="5"/>
        <v/>
      </c>
    </row>
    <row r="114" spans="1:9">
      <c r="A114" s="152" t="s">
        <v>849</v>
      </c>
      <c r="B114" s="153">
        <v>42707</v>
      </c>
      <c r="C114" s="154" t="str">
        <f t="shared" si="3"/>
        <v>(토)</v>
      </c>
      <c r="D114" s="152"/>
      <c r="E114" s="153"/>
      <c r="F114" s="154" t="str">
        <f t="shared" si="4"/>
        <v/>
      </c>
      <c r="G114" s="152"/>
      <c r="H114" s="153"/>
      <c r="I114" s="154" t="str">
        <f t="shared" si="5"/>
        <v/>
      </c>
    </row>
    <row r="115" spans="1:9">
      <c r="A115" s="152" t="s">
        <v>849</v>
      </c>
      <c r="B115" s="153">
        <v>42708</v>
      </c>
      <c r="C115" s="154" t="str">
        <f t="shared" si="3"/>
        <v>(일)</v>
      </c>
      <c r="D115" s="152"/>
      <c r="E115" s="153"/>
      <c r="F115" s="154" t="str">
        <f t="shared" si="4"/>
        <v/>
      </c>
      <c r="G115" s="152"/>
      <c r="H115" s="153"/>
      <c r="I115" s="154" t="str">
        <f t="shared" si="5"/>
        <v/>
      </c>
    </row>
    <row r="116" spans="1:9">
      <c r="A116" s="152" t="s">
        <v>849</v>
      </c>
      <c r="B116" s="153">
        <v>42714</v>
      </c>
      <c r="C116" s="154" t="str">
        <f t="shared" si="3"/>
        <v>(토)</v>
      </c>
      <c r="D116" s="152"/>
      <c r="E116" s="153"/>
      <c r="F116" s="154" t="str">
        <f t="shared" si="4"/>
        <v/>
      </c>
      <c r="G116" s="152"/>
      <c r="H116" s="153"/>
      <c r="I116" s="154" t="str">
        <f t="shared" si="5"/>
        <v/>
      </c>
    </row>
    <row r="117" spans="1:9">
      <c r="A117" s="152" t="s">
        <v>849</v>
      </c>
      <c r="B117" s="153">
        <v>42715</v>
      </c>
      <c r="C117" s="154" t="str">
        <f t="shared" si="3"/>
        <v>(일)</v>
      </c>
      <c r="D117" s="152"/>
      <c r="E117" s="153"/>
      <c r="F117" s="154" t="str">
        <f t="shared" si="4"/>
        <v/>
      </c>
      <c r="G117" s="152"/>
      <c r="H117" s="153"/>
      <c r="I117" s="154" t="str">
        <f t="shared" si="5"/>
        <v/>
      </c>
    </row>
    <row r="118" spans="1:9">
      <c r="A118" s="152" t="s">
        <v>849</v>
      </c>
      <c r="B118" s="153">
        <v>42721</v>
      </c>
      <c r="C118" s="154" t="str">
        <f t="shared" si="3"/>
        <v>(토)</v>
      </c>
      <c r="D118" s="152"/>
      <c r="E118" s="153"/>
      <c r="F118" s="154" t="str">
        <f t="shared" si="4"/>
        <v/>
      </c>
      <c r="G118" s="152"/>
      <c r="H118" s="153"/>
      <c r="I118" s="154" t="str">
        <f t="shared" si="5"/>
        <v/>
      </c>
    </row>
    <row r="119" spans="1:9">
      <c r="A119" s="152" t="s">
        <v>849</v>
      </c>
      <c r="B119" s="153">
        <v>42722</v>
      </c>
      <c r="C119" s="154" t="str">
        <f t="shared" si="3"/>
        <v>(일)</v>
      </c>
      <c r="D119" s="152"/>
      <c r="E119" s="153"/>
      <c r="F119" s="154" t="str">
        <f t="shared" si="4"/>
        <v/>
      </c>
      <c r="G119" s="152"/>
      <c r="H119" s="153"/>
      <c r="I119" s="154" t="str">
        <f t="shared" si="5"/>
        <v/>
      </c>
    </row>
    <row r="120" spans="1:9">
      <c r="A120" s="152" t="s">
        <v>849</v>
      </c>
      <c r="B120" s="153">
        <v>42728</v>
      </c>
      <c r="C120" s="154" t="str">
        <f t="shared" si="3"/>
        <v>(토)</v>
      </c>
      <c r="D120" s="152"/>
      <c r="E120" s="153"/>
      <c r="F120" s="154" t="str">
        <f t="shared" si="4"/>
        <v/>
      </c>
      <c r="G120" s="152"/>
      <c r="H120" s="153"/>
      <c r="I120" s="154" t="str">
        <f t="shared" si="5"/>
        <v/>
      </c>
    </row>
    <row r="121" spans="1:9">
      <c r="A121" s="152" t="s">
        <v>850</v>
      </c>
      <c r="B121" s="153">
        <v>42729</v>
      </c>
      <c r="C121" s="154" t="str">
        <f t="shared" si="3"/>
        <v>(일)</v>
      </c>
      <c r="D121" s="152"/>
      <c r="E121" s="153"/>
      <c r="F121" s="154" t="str">
        <f t="shared" si="4"/>
        <v/>
      </c>
      <c r="G121" s="152"/>
      <c r="H121" s="153"/>
      <c r="I121" s="154" t="str">
        <f t="shared" si="5"/>
        <v/>
      </c>
    </row>
    <row r="122" spans="1:9">
      <c r="A122" s="152" t="s">
        <v>849</v>
      </c>
      <c r="B122" s="153">
        <v>42735</v>
      </c>
      <c r="C122" s="154" t="str">
        <f t="shared" si="3"/>
        <v>(토)</v>
      </c>
      <c r="D122" s="152"/>
      <c r="E122" s="153"/>
      <c r="F122" s="154" t="str">
        <f t="shared" si="4"/>
        <v/>
      </c>
      <c r="G122" s="152"/>
      <c r="H122" s="153"/>
      <c r="I122" s="154" t="str">
        <f t="shared" si="5"/>
        <v/>
      </c>
    </row>
    <row r="123" spans="1:9">
      <c r="A123" s="152" t="s">
        <v>957</v>
      </c>
      <c r="B123" s="168">
        <v>42736</v>
      </c>
      <c r="C123" s="149" t="str">
        <f t="shared" si="3"/>
        <v>(일)</v>
      </c>
      <c r="D123" s="152"/>
      <c r="E123" s="153"/>
      <c r="F123" s="154" t="str">
        <f t="shared" si="4"/>
        <v/>
      </c>
      <c r="G123" s="152"/>
      <c r="H123" s="153"/>
      <c r="I123" s="154" t="str">
        <f t="shared" si="5"/>
        <v/>
      </c>
    </row>
    <row r="124" spans="1:9">
      <c r="A124" s="152" t="s">
        <v>958</v>
      </c>
      <c r="B124" s="153">
        <v>42742</v>
      </c>
      <c r="C124" s="154" t="str">
        <f t="shared" si="3"/>
        <v>(토)</v>
      </c>
      <c r="D124" s="152"/>
      <c r="E124" s="153"/>
      <c r="F124" s="154" t="str">
        <f t="shared" si="4"/>
        <v/>
      </c>
      <c r="G124" s="152"/>
      <c r="H124" s="153"/>
      <c r="I124" s="154" t="str">
        <f t="shared" si="5"/>
        <v/>
      </c>
    </row>
    <row r="125" spans="1:9">
      <c r="A125" s="152" t="s">
        <v>958</v>
      </c>
      <c r="B125" s="153">
        <v>42743</v>
      </c>
      <c r="C125" s="154" t="str">
        <f t="shared" si="3"/>
        <v>(일)</v>
      </c>
      <c r="D125" s="152"/>
      <c r="E125" s="153"/>
      <c r="F125" s="154" t="str">
        <f t="shared" si="4"/>
        <v/>
      </c>
      <c r="G125" s="152"/>
      <c r="H125" s="153"/>
      <c r="I125" s="154" t="str">
        <f t="shared" si="5"/>
        <v/>
      </c>
    </row>
    <row r="126" spans="1:9">
      <c r="A126" s="152" t="s">
        <v>958</v>
      </c>
      <c r="B126" s="153">
        <v>42749</v>
      </c>
      <c r="C126" s="154" t="str">
        <f t="shared" si="3"/>
        <v>(토)</v>
      </c>
      <c r="D126" s="152"/>
      <c r="E126" s="153"/>
      <c r="F126" s="154" t="str">
        <f t="shared" si="4"/>
        <v/>
      </c>
      <c r="G126" s="152"/>
      <c r="H126" s="153"/>
      <c r="I126" s="154" t="str">
        <f t="shared" si="5"/>
        <v/>
      </c>
    </row>
    <row r="127" spans="1:9">
      <c r="A127" s="152" t="s">
        <v>958</v>
      </c>
      <c r="B127" s="153">
        <v>42750</v>
      </c>
      <c r="C127" s="154" t="str">
        <f t="shared" si="3"/>
        <v>(일)</v>
      </c>
      <c r="D127" s="152"/>
      <c r="E127" s="153"/>
      <c r="F127" s="154" t="str">
        <f t="shared" si="4"/>
        <v/>
      </c>
      <c r="G127" s="152"/>
      <c r="H127" s="153"/>
      <c r="I127" s="154" t="str">
        <f t="shared" si="5"/>
        <v/>
      </c>
    </row>
    <row r="128" spans="1:9">
      <c r="A128" s="152" t="s">
        <v>958</v>
      </c>
      <c r="B128" s="153">
        <v>42756</v>
      </c>
      <c r="C128" s="154" t="str">
        <f t="shared" si="3"/>
        <v>(토)</v>
      </c>
      <c r="D128" s="152"/>
      <c r="E128" s="153"/>
      <c r="F128" s="154" t="str">
        <f t="shared" si="4"/>
        <v/>
      </c>
      <c r="G128" s="152"/>
      <c r="H128" s="153"/>
      <c r="I128" s="154" t="str">
        <f t="shared" si="5"/>
        <v/>
      </c>
    </row>
    <row r="129" spans="1:9">
      <c r="A129" s="152" t="s">
        <v>958</v>
      </c>
      <c r="B129" s="153">
        <v>42757</v>
      </c>
      <c r="C129" s="154" t="str">
        <f t="shared" si="3"/>
        <v>(일)</v>
      </c>
      <c r="D129" s="152"/>
      <c r="E129" s="153"/>
      <c r="F129" s="154" t="str">
        <f t="shared" si="4"/>
        <v/>
      </c>
      <c r="G129" s="152"/>
      <c r="H129" s="153"/>
      <c r="I129" s="154" t="str">
        <f t="shared" si="5"/>
        <v/>
      </c>
    </row>
    <row r="130" spans="1:9">
      <c r="A130" s="152" t="s">
        <v>959</v>
      </c>
      <c r="B130" s="153">
        <v>42762</v>
      </c>
      <c r="C130" s="154" t="str">
        <f t="shared" si="3"/>
        <v>(금)</v>
      </c>
      <c r="D130" s="152"/>
      <c r="E130" s="153"/>
      <c r="F130" s="154" t="str">
        <f t="shared" si="4"/>
        <v/>
      </c>
      <c r="G130" s="152"/>
      <c r="H130" s="153"/>
      <c r="I130" s="154" t="str">
        <f t="shared" si="5"/>
        <v/>
      </c>
    </row>
    <row r="131" spans="1:9">
      <c r="A131" s="152" t="s">
        <v>960</v>
      </c>
      <c r="B131" s="153">
        <v>42763</v>
      </c>
      <c r="C131" s="154" t="str">
        <f t="shared" si="3"/>
        <v>(토)</v>
      </c>
      <c r="D131" s="152"/>
      <c r="E131" s="153"/>
      <c r="F131" s="154" t="str">
        <f t="shared" si="4"/>
        <v/>
      </c>
      <c r="G131" s="152"/>
      <c r="H131" s="153"/>
      <c r="I131" s="154" t="str">
        <f t="shared" si="5"/>
        <v/>
      </c>
    </row>
    <row r="132" spans="1:9">
      <c r="A132" s="152" t="s">
        <v>958</v>
      </c>
      <c r="B132" s="153">
        <v>42764</v>
      </c>
      <c r="C132" s="154" t="str">
        <f t="shared" si="3"/>
        <v>(일)</v>
      </c>
      <c r="D132" s="152"/>
      <c r="E132" s="153"/>
      <c r="F132" s="154" t="str">
        <f t="shared" si="4"/>
        <v/>
      </c>
      <c r="G132" s="152"/>
      <c r="H132" s="153"/>
      <c r="I132" s="154" t="str">
        <f t="shared" si="5"/>
        <v/>
      </c>
    </row>
    <row r="133" spans="1:9">
      <c r="A133" s="152" t="s">
        <v>961</v>
      </c>
      <c r="B133" s="153">
        <v>42765</v>
      </c>
      <c r="C133" s="154" t="str">
        <f t="shared" ref="C133:C196" si="6">IF(B133&gt;0,TEXT(B133,"(aaa)"),"")</f>
        <v>(월)</v>
      </c>
      <c r="D133" s="152"/>
      <c r="E133" s="153"/>
      <c r="F133" s="154" t="str">
        <f t="shared" ref="F133:F196" si="7">IF(E133&gt;0,TEXT(E133,"(aaa)"),"")</f>
        <v/>
      </c>
      <c r="G133" s="152"/>
      <c r="H133" s="153"/>
      <c r="I133" s="154" t="str">
        <f t="shared" ref="I133:I196" si="8">IF(H133&gt;0,TEXT(H133,"(aaa)"),"")</f>
        <v/>
      </c>
    </row>
    <row r="134" spans="1:9">
      <c r="A134" s="152" t="s">
        <v>962</v>
      </c>
      <c r="B134" s="153">
        <v>42770</v>
      </c>
      <c r="C134" s="154" t="str">
        <f t="shared" si="6"/>
        <v>(토)</v>
      </c>
      <c r="D134" s="152"/>
      <c r="E134" s="153"/>
      <c r="F134" s="154" t="str">
        <f t="shared" si="7"/>
        <v/>
      </c>
      <c r="G134" s="152"/>
      <c r="H134" s="153"/>
      <c r="I134" s="154" t="str">
        <f t="shared" si="8"/>
        <v/>
      </c>
    </row>
    <row r="135" spans="1:9">
      <c r="A135" s="152" t="s">
        <v>962</v>
      </c>
      <c r="B135" s="153">
        <v>42771</v>
      </c>
      <c r="C135" s="154" t="str">
        <f t="shared" si="6"/>
        <v>(일)</v>
      </c>
      <c r="D135" s="152"/>
      <c r="E135" s="153"/>
      <c r="F135" s="154" t="str">
        <f t="shared" si="7"/>
        <v/>
      </c>
      <c r="G135" s="152"/>
      <c r="H135" s="153"/>
      <c r="I135" s="154" t="str">
        <f t="shared" si="8"/>
        <v/>
      </c>
    </row>
    <row r="136" spans="1:9">
      <c r="A136" s="152" t="s">
        <v>962</v>
      </c>
      <c r="B136" s="153">
        <v>42777</v>
      </c>
      <c r="C136" s="154" t="str">
        <f t="shared" si="6"/>
        <v>(토)</v>
      </c>
      <c r="D136" s="152"/>
      <c r="E136" s="153"/>
      <c r="F136" s="154" t="str">
        <f t="shared" si="7"/>
        <v/>
      </c>
      <c r="G136" s="152"/>
      <c r="H136" s="153"/>
      <c r="I136" s="154" t="str">
        <f t="shared" si="8"/>
        <v/>
      </c>
    </row>
    <row r="137" spans="1:9">
      <c r="A137" s="152" t="s">
        <v>962</v>
      </c>
      <c r="B137" s="153">
        <v>42778</v>
      </c>
      <c r="C137" s="154" t="str">
        <f t="shared" si="6"/>
        <v>(일)</v>
      </c>
      <c r="D137" s="152"/>
      <c r="E137" s="153"/>
      <c r="F137" s="154" t="str">
        <f t="shared" si="7"/>
        <v/>
      </c>
      <c r="G137" s="152"/>
      <c r="H137" s="153"/>
      <c r="I137" s="154" t="str">
        <f t="shared" si="8"/>
        <v/>
      </c>
    </row>
    <row r="138" spans="1:9">
      <c r="A138" s="152" t="s">
        <v>962</v>
      </c>
      <c r="B138" s="153">
        <v>42784</v>
      </c>
      <c r="C138" s="154" t="str">
        <f t="shared" si="6"/>
        <v>(토)</v>
      </c>
      <c r="D138" s="152"/>
      <c r="E138" s="153"/>
      <c r="F138" s="154" t="str">
        <f t="shared" si="7"/>
        <v/>
      </c>
      <c r="G138" s="152"/>
      <c r="H138" s="153"/>
      <c r="I138" s="154" t="str">
        <f t="shared" si="8"/>
        <v/>
      </c>
    </row>
    <row r="139" spans="1:9">
      <c r="A139" s="152" t="s">
        <v>962</v>
      </c>
      <c r="B139" s="153">
        <v>42785</v>
      </c>
      <c r="C139" s="154" t="str">
        <f t="shared" si="6"/>
        <v>(일)</v>
      </c>
      <c r="D139" s="152"/>
      <c r="E139" s="153"/>
      <c r="F139" s="154" t="str">
        <f t="shared" si="7"/>
        <v/>
      </c>
      <c r="G139" s="152"/>
      <c r="H139" s="153"/>
      <c r="I139" s="154" t="str">
        <f t="shared" si="8"/>
        <v/>
      </c>
    </row>
    <row r="140" spans="1:9">
      <c r="A140" s="152" t="s">
        <v>962</v>
      </c>
      <c r="B140" s="153">
        <v>42791</v>
      </c>
      <c r="C140" s="154" t="str">
        <f t="shared" si="6"/>
        <v>(토)</v>
      </c>
      <c r="D140" s="152"/>
      <c r="E140" s="153"/>
      <c r="F140" s="154" t="str">
        <f t="shared" si="7"/>
        <v/>
      </c>
      <c r="G140" s="152"/>
      <c r="H140" s="153"/>
      <c r="I140" s="154" t="str">
        <f t="shared" si="8"/>
        <v/>
      </c>
    </row>
    <row r="141" spans="1:9">
      <c r="A141" s="152" t="s">
        <v>962</v>
      </c>
      <c r="B141" s="153">
        <v>42792</v>
      </c>
      <c r="C141" s="154" t="str">
        <f t="shared" si="6"/>
        <v>(일)</v>
      </c>
      <c r="D141" s="152"/>
      <c r="E141" s="153"/>
      <c r="F141" s="154" t="str">
        <f t="shared" si="7"/>
        <v/>
      </c>
      <c r="G141" s="152"/>
      <c r="H141" s="153"/>
      <c r="I141" s="154" t="str">
        <f t="shared" si="8"/>
        <v/>
      </c>
    </row>
    <row r="142" spans="1:9">
      <c r="A142" s="152" t="s">
        <v>963</v>
      </c>
      <c r="B142" s="153">
        <v>42795</v>
      </c>
      <c r="C142" s="154" t="str">
        <f t="shared" si="6"/>
        <v>(수)</v>
      </c>
      <c r="D142" s="152"/>
      <c r="E142" s="153"/>
      <c r="F142" s="154" t="str">
        <f t="shared" si="7"/>
        <v/>
      </c>
      <c r="G142" s="152"/>
      <c r="H142" s="153"/>
      <c r="I142" s="154" t="str">
        <f t="shared" si="8"/>
        <v/>
      </c>
    </row>
    <row r="143" spans="1:9">
      <c r="A143" s="152" t="s">
        <v>964</v>
      </c>
      <c r="B143" s="153">
        <v>42798</v>
      </c>
      <c r="C143" s="154" t="str">
        <f t="shared" si="6"/>
        <v>(토)</v>
      </c>
      <c r="D143" s="152"/>
      <c r="E143" s="153"/>
      <c r="F143" s="154" t="str">
        <f t="shared" si="7"/>
        <v/>
      </c>
      <c r="G143" s="152"/>
      <c r="H143" s="153"/>
      <c r="I143" s="154" t="str">
        <f t="shared" si="8"/>
        <v/>
      </c>
    </row>
    <row r="144" spans="1:9">
      <c r="A144" s="152" t="s">
        <v>964</v>
      </c>
      <c r="B144" s="153">
        <v>42799</v>
      </c>
      <c r="C144" s="154" t="str">
        <f t="shared" si="6"/>
        <v>(일)</v>
      </c>
      <c r="D144" s="152"/>
      <c r="E144" s="153"/>
      <c r="F144" s="154" t="str">
        <f t="shared" si="7"/>
        <v/>
      </c>
      <c r="G144" s="152"/>
      <c r="H144" s="153"/>
      <c r="I144" s="154" t="str">
        <f t="shared" si="8"/>
        <v/>
      </c>
    </row>
    <row r="145" spans="1:9">
      <c r="A145" s="152" t="s">
        <v>964</v>
      </c>
      <c r="B145" s="153">
        <v>42805</v>
      </c>
      <c r="C145" s="154" t="str">
        <f t="shared" si="6"/>
        <v>(토)</v>
      </c>
      <c r="D145" s="152"/>
      <c r="E145" s="153"/>
      <c r="F145" s="154" t="str">
        <f t="shared" si="7"/>
        <v/>
      </c>
      <c r="G145" s="152"/>
      <c r="H145" s="153"/>
      <c r="I145" s="154" t="str">
        <f t="shared" si="8"/>
        <v/>
      </c>
    </row>
    <row r="146" spans="1:9">
      <c r="A146" s="152" t="s">
        <v>964</v>
      </c>
      <c r="B146" s="153">
        <v>42806</v>
      </c>
      <c r="C146" s="154" t="str">
        <f t="shared" si="6"/>
        <v>(일)</v>
      </c>
      <c r="D146" s="152"/>
      <c r="E146" s="153"/>
      <c r="F146" s="154" t="str">
        <f t="shared" si="7"/>
        <v/>
      </c>
      <c r="G146" s="152"/>
      <c r="H146" s="153"/>
      <c r="I146" s="154" t="str">
        <f t="shared" si="8"/>
        <v/>
      </c>
    </row>
    <row r="147" spans="1:9">
      <c r="A147" s="152" t="s">
        <v>964</v>
      </c>
      <c r="B147" s="153">
        <v>42812</v>
      </c>
      <c r="C147" s="154" t="str">
        <f t="shared" si="6"/>
        <v>(토)</v>
      </c>
      <c r="D147" s="152"/>
      <c r="E147" s="153"/>
      <c r="F147" s="154" t="str">
        <f t="shared" si="7"/>
        <v/>
      </c>
      <c r="G147" s="152"/>
      <c r="H147" s="153"/>
      <c r="I147" s="154" t="str">
        <f t="shared" si="8"/>
        <v/>
      </c>
    </row>
    <row r="148" spans="1:9">
      <c r="A148" s="152" t="s">
        <v>964</v>
      </c>
      <c r="B148" s="153">
        <v>42813</v>
      </c>
      <c r="C148" s="154" t="str">
        <f t="shared" si="6"/>
        <v>(일)</v>
      </c>
      <c r="D148" s="152"/>
      <c r="E148" s="153"/>
      <c r="F148" s="154" t="str">
        <f t="shared" si="7"/>
        <v/>
      </c>
      <c r="G148" s="152"/>
      <c r="H148" s="153"/>
      <c r="I148" s="154" t="str">
        <f t="shared" si="8"/>
        <v/>
      </c>
    </row>
    <row r="149" spans="1:9">
      <c r="A149" s="152" t="s">
        <v>964</v>
      </c>
      <c r="B149" s="153">
        <v>42819</v>
      </c>
      <c r="C149" s="154" t="str">
        <f t="shared" si="6"/>
        <v>(토)</v>
      </c>
      <c r="D149" s="152"/>
      <c r="E149" s="153"/>
      <c r="F149" s="154" t="str">
        <f t="shared" si="7"/>
        <v/>
      </c>
      <c r="G149" s="152"/>
      <c r="H149" s="153"/>
      <c r="I149" s="154" t="str">
        <f t="shared" si="8"/>
        <v/>
      </c>
    </row>
    <row r="150" spans="1:9">
      <c r="A150" s="152" t="s">
        <v>964</v>
      </c>
      <c r="B150" s="153">
        <v>42820</v>
      </c>
      <c r="C150" s="154" t="str">
        <f t="shared" si="6"/>
        <v>(일)</v>
      </c>
      <c r="D150" s="152"/>
      <c r="E150" s="153"/>
      <c r="F150" s="154" t="str">
        <f t="shared" si="7"/>
        <v/>
      </c>
      <c r="G150" s="152"/>
      <c r="H150" s="153"/>
      <c r="I150" s="154" t="str">
        <f t="shared" si="8"/>
        <v/>
      </c>
    </row>
    <row r="151" spans="1:9">
      <c r="A151" s="152" t="s">
        <v>965</v>
      </c>
      <c r="B151" s="153">
        <v>42826</v>
      </c>
      <c r="C151" s="154" t="str">
        <f t="shared" si="6"/>
        <v>(토)</v>
      </c>
      <c r="D151" s="152"/>
      <c r="E151" s="153"/>
      <c r="F151" s="154" t="str">
        <f t="shared" si="7"/>
        <v/>
      </c>
      <c r="G151" s="152"/>
      <c r="H151" s="153"/>
      <c r="I151" s="154" t="str">
        <f t="shared" si="8"/>
        <v/>
      </c>
    </row>
    <row r="152" spans="1:9">
      <c r="A152" s="152" t="s">
        <v>965</v>
      </c>
      <c r="B152" s="153">
        <v>42827</v>
      </c>
      <c r="C152" s="154" t="str">
        <f t="shared" si="6"/>
        <v>(일)</v>
      </c>
      <c r="D152" s="152"/>
      <c r="E152" s="153"/>
      <c r="F152" s="154" t="str">
        <f t="shared" si="7"/>
        <v/>
      </c>
      <c r="G152" s="152"/>
      <c r="H152" s="153"/>
      <c r="I152" s="154" t="str">
        <f t="shared" si="8"/>
        <v/>
      </c>
    </row>
    <row r="153" spans="1:9">
      <c r="A153" s="152" t="s">
        <v>965</v>
      </c>
      <c r="B153" s="153">
        <v>42833</v>
      </c>
      <c r="C153" s="154" t="str">
        <f t="shared" si="6"/>
        <v>(토)</v>
      </c>
      <c r="D153" s="152"/>
      <c r="E153" s="153"/>
      <c r="F153" s="154" t="str">
        <f t="shared" si="7"/>
        <v/>
      </c>
      <c r="G153" s="152"/>
      <c r="H153" s="153"/>
      <c r="I153" s="154" t="str">
        <f t="shared" si="8"/>
        <v/>
      </c>
    </row>
    <row r="154" spans="1:9">
      <c r="A154" s="152" t="s">
        <v>965</v>
      </c>
      <c r="B154" s="153">
        <v>42834</v>
      </c>
      <c r="C154" s="154" t="str">
        <f t="shared" si="6"/>
        <v>(일)</v>
      </c>
      <c r="D154" s="152"/>
      <c r="E154" s="153"/>
      <c r="F154" s="154" t="str">
        <f t="shared" si="7"/>
        <v/>
      </c>
      <c r="G154" s="152"/>
      <c r="H154" s="153"/>
      <c r="I154" s="154" t="str">
        <f t="shared" si="8"/>
        <v/>
      </c>
    </row>
    <row r="155" spans="1:9">
      <c r="A155" s="152" t="s">
        <v>965</v>
      </c>
      <c r="B155" s="153">
        <v>42840</v>
      </c>
      <c r="C155" s="154" t="str">
        <f t="shared" si="6"/>
        <v>(토)</v>
      </c>
      <c r="D155" s="152"/>
      <c r="E155" s="153"/>
      <c r="F155" s="154" t="str">
        <f t="shared" si="7"/>
        <v/>
      </c>
      <c r="G155" s="152"/>
      <c r="H155" s="153"/>
      <c r="I155" s="154" t="str">
        <f t="shared" si="8"/>
        <v/>
      </c>
    </row>
    <row r="156" spans="1:9">
      <c r="A156" s="152" t="s">
        <v>965</v>
      </c>
      <c r="B156" s="153">
        <v>42841</v>
      </c>
      <c r="C156" s="154" t="str">
        <f t="shared" si="6"/>
        <v>(일)</v>
      </c>
      <c r="D156" s="152"/>
      <c r="E156" s="153"/>
      <c r="F156" s="154" t="str">
        <f t="shared" si="7"/>
        <v/>
      </c>
      <c r="G156" s="152"/>
      <c r="H156" s="153"/>
      <c r="I156" s="154" t="str">
        <f t="shared" si="8"/>
        <v/>
      </c>
    </row>
    <row r="157" spans="1:9">
      <c r="A157" s="152" t="s">
        <v>965</v>
      </c>
      <c r="B157" s="153">
        <v>42847</v>
      </c>
      <c r="C157" s="154" t="str">
        <f t="shared" si="6"/>
        <v>(토)</v>
      </c>
      <c r="D157" s="152"/>
      <c r="E157" s="153"/>
      <c r="F157" s="154" t="str">
        <f t="shared" si="7"/>
        <v/>
      </c>
      <c r="G157" s="152"/>
      <c r="H157" s="153"/>
      <c r="I157" s="154" t="str">
        <f t="shared" si="8"/>
        <v/>
      </c>
    </row>
    <row r="158" spans="1:9">
      <c r="A158" s="152" t="s">
        <v>965</v>
      </c>
      <c r="B158" s="153">
        <v>42848</v>
      </c>
      <c r="C158" s="154" t="str">
        <f t="shared" si="6"/>
        <v>(일)</v>
      </c>
      <c r="D158" s="152"/>
      <c r="E158" s="153"/>
      <c r="F158" s="154" t="str">
        <f t="shared" si="7"/>
        <v/>
      </c>
      <c r="G158" s="152"/>
      <c r="H158" s="153"/>
      <c r="I158" s="154" t="str">
        <f t="shared" si="8"/>
        <v/>
      </c>
    </row>
    <row r="159" spans="1:9">
      <c r="A159" s="152" t="s">
        <v>965</v>
      </c>
      <c r="B159" s="153">
        <v>42854</v>
      </c>
      <c r="C159" s="154" t="str">
        <f t="shared" si="6"/>
        <v>(토)</v>
      </c>
      <c r="D159" s="152"/>
      <c r="E159" s="153"/>
      <c r="F159" s="154" t="str">
        <f t="shared" si="7"/>
        <v/>
      </c>
      <c r="G159" s="152"/>
      <c r="H159" s="153"/>
      <c r="I159" s="154" t="str">
        <f t="shared" si="8"/>
        <v/>
      </c>
    </row>
    <row r="160" spans="1:9">
      <c r="A160" s="152" t="s">
        <v>965</v>
      </c>
      <c r="B160" s="153">
        <v>42855</v>
      </c>
      <c r="C160" s="154" t="str">
        <f t="shared" si="6"/>
        <v>(일)</v>
      </c>
      <c r="D160" s="152"/>
      <c r="E160" s="153"/>
      <c r="F160" s="154" t="str">
        <f t="shared" si="7"/>
        <v/>
      </c>
      <c r="G160" s="152"/>
      <c r="H160" s="153"/>
      <c r="I160" s="154" t="str">
        <f t="shared" si="8"/>
        <v/>
      </c>
    </row>
    <row r="161" spans="1:9">
      <c r="A161" s="152" t="s">
        <v>966</v>
      </c>
      <c r="B161" s="153">
        <v>42858</v>
      </c>
      <c r="C161" s="154" t="str">
        <f t="shared" si="6"/>
        <v>(수)</v>
      </c>
      <c r="D161" s="152"/>
      <c r="E161" s="153"/>
      <c r="F161" s="154" t="str">
        <f t="shared" si="7"/>
        <v/>
      </c>
      <c r="G161" s="152"/>
      <c r="H161" s="153"/>
      <c r="I161" s="154" t="str">
        <f t="shared" si="8"/>
        <v/>
      </c>
    </row>
    <row r="162" spans="1:9">
      <c r="A162" s="152" t="s">
        <v>967</v>
      </c>
      <c r="B162" s="153">
        <v>42860</v>
      </c>
      <c r="C162" s="154" t="str">
        <f t="shared" si="6"/>
        <v>(금)</v>
      </c>
      <c r="D162" s="152"/>
      <c r="E162" s="153"/>
      <c r="F162" s="154" t="str">
        <f t="shared" si="7"/>
        <v/>
      </c>
      <c r="G162" s="152"/>
      <c r="H162" s="153"/>
      <c r="I162" s="154" t="str">
        <f t="shared" si="8"/>
        <v/>
      </c>
    </row>
    <row r="163" spans="1:9">
      <c r="A163" s="152" t="s">
        <v>968</v>
      </c>
      <c r="B163" s="153">
        <v>42861</v>
      </c>
      <c r="C163" s="154" t="str">
        <f t="shared" si="6"/>
        <v>(토)</v>
      </c>
      <c r="D163" s="152"/>
      <c r="E163" s="153"/>
      <c r="F163" s="154" t="str">
        <f t="shared" si="7"/>
        <v/>
      </c>
      <c r="G163" s="152"/>
      <c r="H163" s="153"/>
      <c r="I163" s="154" t="str">
        <f t="shared" si="8"/>
        <v/>
      </c>
    </row>
    <row r="164" spans="1:9">
      <c r="A164" s="152" t="s">
        <v>968</v>
      </c>
      <c r="B164" s="153">
        <v>42862</v>
      </c>
      <c r="C164" s="154" t="str">
        <f t="shared" si="6"/>
        <v>(일)</v>
      </c>
      <c r="D164" s="152"/>
      <c r="E164" s="153"/>
      <c r="F164" s="154" t="str">
        <f t="shared" si="7"/>
        <v/>
      </c>
      <c r="G164" s="152"/>
      <c r="H164" s="153"/>
      <c r="I164" s="154" t="str">
        <f t="shared" si="8"/>
        <v/>
      </c>
    </row>
    <row r="165" spans="1:9">
      <c r="A165" s="152" t="s">
        <v>1028</v>
      </c>
      <c r="B165" s="153">
        <v>42864</v>
      </c>
      <c r="C165" s="154" t="str">
        <f t="shared" si="6"/>
        <v>(화)</v>
      </c>
      <c r="D165" s="152"/>
      <c r="E165" s="153"/>
      <c r="F165" s="154" t="str">
        <f t="shared" si="7"/>
        <v/>
      </c>
      <c r="G165" s="152"/>
      <c r="H165" s="153"/>
      <c r="I165" s="154" t="str">
        <f t="shared" si="8"/>
        <v/>
      </c>
    </row>
    <row r="166" spans="1:9">
      <c r="A166" s="152" t="s">
        <v>968</v>
      </c>
      <c r="B166" s="153">
        <v>42868</v>
      </c>
      <c r="C166" s="154" t="str">
        <f t="shared" si="6"/>
        <v>(토)</v>
      </c>
      <c r="D166" s="152"/>
      <c r="E166" s="153"/>
      <c r="F166" s="154" t="str">
        <f t="shared" si="7"/>
        <v/>
      </c>
      <c r="G166" s="152"/>
      <c r="H166" s="153"/>
      <c r="I166" s="154" t="str">
        <f t="shared" si="8"/>
        <v/>
      </c>
    </row>
    <row r="167" spans="1:9">
      <c r="A167" s="152" t="s">
        <v>968</v>
      </c>
      <c r="B167" s="153">
        <v>42869</v>
      </c>
      <c r="C167" s="154" t="str">
        <f t="shared" si="6"/>
        <v>(일)</v>
      </c>
      <c r="D167" s="152"/>
      <c r="E167" s="153"/>
      <c r="F167" s="154" t="str">
        <f t="shared" si="7"/>
        <v/>
      </c>
      <c r="G167" s="152"/>
      <c r="H167" s="153"/>
      <c r="I167" s="154" t="str">
        <f t="shared" si="8"/>
        <v/>
      </c>
    </row>
    <row r="168" spans="1:9">
      <c r="A168" s="152" t="s">
        <v>968</v>
      </c>
      <c r="B168" s="153">
        <v>42875</v>
      </c>
      <c r="C168" s="154" t="str">
        <f t="shared" si="6"/>
        <v>(토)</v>
      </c>
      <c r="D168" s="152"/>
      <c r="E168" s="153"/>
      <c r="F168" s="154" t="str">
        <f t="shared" si="7"/>
        <v/>
      </c>
      <c r="G168" s="152"/>
      <c r="H168" s="153"/>
      <c r="I168" s="154" t="str">
        <f t="shared" si="8"/>
        <v/>
      </c>
    </row>
    <row r="169" spans="1:9">
      <c r="A169" s="152" t="s">
        <v>968</v>
      </c>
      <c r="B169" s="153">
        <v>42876</v>
      </c>
      <c r="C169" s="154" t="str">
        <f t="shared" si="6"/>
        <v>(일)</v>
      </c>
      <c r="D169" s="152"/>
      <c r="E169" s="153"/>
      <c r="F169" s="154" t="str">
        <f t="shared" si="7"/>
        <v/>
      </c>
      <c r="G169" s="152"/>
      <c r="H169" s="153"/>
      <c r="I169" s="154" t="str">
        <f t="shared" si="8"/>
        <v/>
      </c>
    </row>
    <row r="170" spans="1:9">
      <c r="A170" s="152" t="s">
        <v>968</v>
      </c>
      <c r="B170" s="153">
        <v>42882</v>
      </c>
      <c r="C170" s="154" t="str">
        <f t="shared" si="6"/>
        <v>(토)</v>
      </c>
      <c r="D170" s="152"/>
      <c r="E170" s="153"/>
      <c r="F170" s="154" t="str">
        <f t="shared" si="7"/>
        <v/>
      </c>
      <c r="G170" s="152"/>
      <c r="H170" s="153"/>
      <c r="I170" s="154" t="str">
        <f t="shared" si="8"/>
        <v/>
      </c>
    </row>
    <row r="171" spans="1:9">
      <c r="A171" s="152" t="s">
        <v>968</v>
      </c>
      <c r="B171" s="153">
        <v>42883</v>
      </c>
      <c r="C171" s="154" t="str">
        <f t="shared" si="6"/>
        <v>(일)</v>
      </c>
      <c r="D171" s="152"/>
      <c r="E171" s="153"/>
      <c r="F171" s="154" t="str">
        <f t="shared" si="7"/>
        <v/>
      </c>
      <c r="G171" s="152"/>
      <c r="H171" s="153"/>
      <c r="I171" s="154" t="str">
        <f t="shared" si="8"/>
        <v/>
      </c>
    </row>
    <row r="172" spans="1:9">
      <c r="A172" s="152" t="s">
        <v>969</v>
      </c>
      <c r="B172" s="153">
        <v>42889</v>
      </c>
      <c r="C172" s="154" t="str">
        <f t="shared" si="6"/>
        <v>(토)</v>
      </c>
      <c r="D172" s="152"/>
      <c r="E172" s="153"/>
      <c r="F172" s="154" t="str">
        <f t="shared" si="7"/>
        <v/>
      </c>
      <c r="G172" s="152"/>
      <c r="H172" s="153"/>
      <c r="I172" s="154" t="str">
        <f t="shared" si="8"/>
        <v/>
      </c>
    </row>
    <row r="173" spans="1:9">
      <c r="A173" s="152" t="s">
        <v>969</v>
      </c>
      <c r="B173" s="153">
        <v>42890</v>
      </c>
      <c r="C173" s="154" t="str">
        <f t="shared" si="6"/>
        <v>(일)</v>
      </c>
      <c r="D173" s="152"/>
      <c r="E173" s="153"/>
      <c r="F173" s="154" t="str">
        <f t="shared" si="7"/>
        <v/>
      </c>
      <c r="G173" s="152"/>
      <c r="H173" s="153"/>
      <c r="I173" s="154" t="str">
        <f t="shared" si="8"/>
        <v/>
      </c>
    </row>
    <row r="174" spans="1:9">
      <c r="A174" s="152" t="s">
        <v>970</v>
      </c>
      <c r="B174" s="153">
        <v>42892</v>
      </c>
      <c r="C174" s="154" t="str">
        <f t="shared" si="6"/>
        <v>(화)</v>
      </c>
      <c r="D174" s="152"/>
      <c r="E174" s="153"/>
      <c r="F174" s="154" t="str">
        <f t="shared" si="7"/>
        <v/>
      </c>
      <c r="G174" s="152"/>
      <c r="H174" s="153"/>
      <c r="I174" s="154" t="str">
        <f t="shared" si="8"/>
        <v/>
      </c>
    </row>
    <row r="175" spans="1:9">
      <c r="A175" s="152" t="s">
        <v>969</v>
      </c>
      <c r="B175" s="153">
        <v>42896</v>
      </c>
      <c r="C175" s="154" t="str">
        <f t="shared" si="6"/>
        <v>(토)</v>
      </c>
      <c r="D175" s="152"/>
      <c r="E175" s="153"/>
      <c r="F175" s="154" t="str">
        <f t="shared" si="7"/>
        <v/>
      </c>
      <c r="G175" s="152"/>
      <c r="H175" s="153"/>
      <c r="I175" s="154" t="str">
        <f t="shared" si="8"/>
        <v/>
      </c>
    </row>
    <row r="176" spans="1:9">
      <c r="A176" s="152" t="s">
        <v>969</v>
      </c>
      <c r="B176" s="153">
        <v>42897</v>
      </c>
      <c r="C176" s="154" t="str">
        <f t="shared" si="6"/>
        <v>(일)</v>
      </c>
      <c r="D176" s="152"/>
      <c r="E176" s="153"/>
      <c r="F176" s="154" t="str">
        <f t="shared" si="7"/>
        <v/>
      </c>
      <c r="G176" s="152"/>
      <c r="H176" s="153"/>
      <c r="I176" s="154" t="str">
        <f t="shared" si="8"/>
        <v/>
      </c>
    </row>
    <row r="177" spans="1:9">
      <c r="A177" s="152" t="s">
        <v>969</v>
      </c>
      <c r="B177" s="153">
        <v>42903</v>
      </c>
      <c r="C177" s="154" t="str">
        <f t="shared" si="6"/>
        <v>(토)</v>
      </c>
      <c r="D177" s="152"/>
      <c r="E177" s="153"/>
      <c r="F177" s="154" t="str">
        <f t="shared" si="7"/>
        <v/>
      </c>
      <c r="G177" s="152"/>
      <c r="H177" s="153"/>
      <c r="I177" s="154" t="str">
        <f t="shared" si="8"/>
        <v/>
      </c>
    </row>
    <row r="178" spans="1:9">
      <c r="A178" s="152" t="s">
        <v>969</v>
      </c>
      <c r="B178" s="153">
        <v>42904</v>
      </c>
      <c r="C178" s="154" t="str">
        <f t="shared" si="6"/>
        <v>(일)</v>
      </c>
      <c r="D178" s="152"/>
      <c r="E178" s="153"/>
      <c r="F178" s="154" t="str">
        <f t="shared" si="7"/>
        <v/>
      </c>
      <c r="G178" s="152"/>
      <c r="H178" s="153"/>
      <c r="I178" s="154" t="str">
        <f t="shared" si="8"/>
        <v/>
      </c>
    </row>
    <row r="179" spans="1:9">
      <c r="A179" s="152" t="s">
        <v>969</v>
      </c>
      <c r="B179" s="153">
        <v>42910</v>
      </c>
      <c r="C179" s="154" t="str">
        <f t="shared" si="6"/>
        <v>(토)</v>
      </c>
      <c r="D179" s="152"/>
      <c r="E179" s="153"/>
      <c r="F179" s="154" t="str">
        <f t="shared" si="7"/>
        <v/>
      </c>
      <c r="G179" s="152"/>
      <c r="H179" s="153"/>
      <c r="I179" s="154" t="str">
        <f t="shared" si="8"/>
        <v/>
      </c>
    </row>
    <row r="180" spans="1:9">
      <c r="A180" s="152" t="s">
        <v>969</v>
      </c>
      <c r="B180" s="153">
        <v>42911</v>
      </c>
      <c r="C180" s="154" t="str">
        <f t="shared" si="6"/>
        <v>(일)</v>
      </c>
      <c r="D180" s="152"/>
      <c r="E180" s="153"/>
      <c r="F180" s="154" t="str">
        <f t="shared" si="7"/>
        <v/>
      </c>
      <c r="G180" s="152"/>
      <c r="H180" s="153"/>
      <c r="I180" s="154" t="str">
        <f t="shared" si="8"/>
        <v/>
      </c>
    </row>
    <row r="181" spans="1:9">
      <c r="A181" s="152" t="s">
        <v>971</v>
      </c>
      <c r="B181" s="153">
        <v>42917</v>
      </c>
      <c r="C181" s="154" t="str">
        <f t="shared" si="6"/>
        <v>(토)</v>
      </c>
      <c r="D181" s="152"/>
      <c r="E181" s="153"/>
      <c r="F181" s="154" t="str">
        <f t="shared" si="7"/>
        <v/>
      </c>
      <c r="G181" s="152"/>
      <c r="H181" s="153"/>
      <c r="I181" s="154" t="str">
        <f t="shared" si="8"/>
        <v/>
      </c>
    </row>
    <row r="182" spans="1:9">
      <c r="A182" s="152" t="s">
        <v>971</v>
      </c>
      <c r="B182" s="153">
        <v>42918</v>
      </c>
      <c r="C182" s="154" t="str">
        <f t="shared" si="6"/>
        <v>(일)</v>
      </c>
      <c r="D182" s="152"/>
      <c r="E182" s="153"/>
      <c r="F182" s="154" t="str">
        <f t="shared" si="7"/>
        <v/>
      </c>
      <c r="G182" s="152"/>
      <c r="H182" s="153"/>
      <c r="I182" s="154" t="str">
        <f t="shared" si="8"/>
        <v/>
      </c>
    </row>
    <row r="183" spans="1:9">
      <c r="A183" s="152" t="s">
        <v>971</v>
      </c>
      <c r="B183" s="153">
        <v>42924</v>
      </c>
      <c r="C183" s="154" t="str">
        <f t="shared" si="6"/>
        <v>(토)</v>
      </c>
      <c r="D183" s="152"/>
      <c r="E183" s="153"/>
      <c r="F183" s="154" t="str">
        <f t="shared" si="7"/>
        <v/>
      </c>
      <c r="G183" s="152"/>
      <c r="H183" s="153"/>
      <c r="I183" s="154" t="str">
        <f t="shared" si="8"/>
        <v/>
      </c>
    </row>
    <row r="184" spans="1:9">
      <c r="A184" s="152" t="s">
        <v>971</v>
      </c>
      <c r="B184" s="153">
        <v>42925</v>
      </c>
      <c r="C184" s="154" t="str">
        <f t="shared" si="6"/>
        <v>(일)</v>
      </c>
      <c r="D184" s="152"/>
      <c r="E184" s="153"/>
      <c r="F184" s="154" t="str">
        <f t="shared" si="7"/>
        <v/>
      </c>
      <c r="G184" s="152"/>
      <c r="H184" s="153"/>
      <c r="I184" s="154" t="str">
        <f t="shared" si="8"/>
        <v/>
      </c>
    </row>
    <row r="185" spans="1:9">
      <c r="A185" s="152" t="s">
        <v>971</v>
      </c>
      <c r="B185" s="153">
        <v>42931</v>
      </c>
      <c r="C185" s="154" t="str">
        <f t="shared" si="6"/>
        <v>(토)</v>
      </c>
      <c r="D185" s="152"/>
      <c r="E185" s="153"/>
      <c r="F185" s="154" t="str">
        <f t="shared" si="7"/>
        <v/>
      </c>
      <c r="G185" s="152"/>
      <c r="H185" s="153"/>
      <c r="I185" s="154" t="str">
        <f t="shared" si="8"/>
        <v/>
      </c>
    </row>
    <row r="186" spans="1:9">
      <c r="A186" s="152" t="s">
        <v>971</v>
      </c>
      <c r="B186" s="153">
        <v>42932</v>
      </c>
      <c r="C186" s="154" t="str">
        <f t="shared" si="6"/>
        <v>(일)</v>
      </c>
      <c r="D186" s="152"/>
      <c r="E186" s="153"/>
      <c r="F186" s="154" t="str">
        <f t="shared" si="7"/>
        <v/>
      </c>
      <c r="G186" s="152"/>
      <c r="H186" s="153"/>
      <c r="I186" s="154" t="str">
        <f t="shared" si="8"/>
        <v/>
      </c>
    </row>
    <row r="187" spans="1:9">
      <c r="A187" s="152" t="s">
        <v>971</v>
      </c>
      <c r="B187" s="153">
        <v>42938</v>
      </c>
      <c r="C187" s="154" t="str">
        <f t="shared" si="6"/>
        <v>(토)</v>
      </c>
      <c r="D187" s="152"/>
      <c r="E187" s="153"/>
      <c r="F187" s="154" t="str">
        <f t="shared" si="7"/>
        <v/>
      </c>
      <c r="G187" s="152"/>
      <c r="H187" s="153"/>
      <c r="I187" s="154" t="str">
        <f t="shared" si="8"/>
        <v/>
      </c>
    </row>
    <row r="188" spans="1:9">
      <c r="A188" s="152" t="s">
        <v>971</v>
      </c>
      <c r="B188" s="153">
        <v>42939</v>
      </c>
      <c r="C188" s="154" t="str">
        <f t="shared" si="6"/>
        <v>(일)</v>
      </c>
      <c r="D188" s="152"/>
      <c r="E188" s="153"/>
      <c r="F188" s="154" t="str">
        <f t="shared" si="7"/>
        <v/>
      </c>
      <c r="G188" s="152"/>
      <c r="H188" s="153"/>
      <c r="I188" s="154" t="str">
        <f t="shared" si="8"/>
        <v/>
      </c>
    </row>
    <row r="189" spans="1:9">
      <c r="A189" s="152" t="s">
        <v>971</v>
      </c>
      <c r="B189" s="153">
        <v>42945</v>
      </c>
      <c r="C189" s="154" t="str">
        <f t="shared" si="6"/>
        <v>(토)</v>
      </c>
      <c r="D189" s="152"/>
      <c r="E189" s="153"/>
      <c r="F189" s="154" t="str">
        <f t="shared" si="7"/>
        <v/>
      </c>
      <c r="G189" s="152"/>
      <c r="H189" s="153"/>
      <c r="I189" s="154" t="str">
        <f t="shared" si="8"/>
        <v/>
      </c>
    </row>
    <row r="190" spans="1:9">
      <c r="A190" s="152" t="s">
        <v>971</v>
      </c>
      <c r="B190" s="153">
        <v>42946</v>
      </c>
      <c r="C190" s="154" t="str">
        <f t="shared" si="6"/>
        <v>(일)</v>
      </c>
      <c r="D190" s="152"/>
      <c r="E190" s="153"/>
      <c r="F190" s="154" t="str">
        <f t="shared" si="7"/>
        <v/>
      </c>
      <c r="G190" s="152"/>
      <c r="H190" s="153"/>
      <c r="I190" s="154" t="str">
        <f t="shared" si="8"/>
        <v/>
      </c>
    </row>
    <row r="191" spans="1:9">
      <c r="A191" s="152" t="s">
        <v>972</v>
      </c>
      <c r="B191" s="153">
        <v>42952</v>
      </c>
      <c r="C191" s="154" t="str">
        <f t="shared" si="6"/>
        <v>(토)</v>
      </c>
      <c r="D191" s="152"/>
      <c r="E191" s="153"/>
      <c r="F191" s="154" t="str">
        <f t="shared" si="7"/>
        <v/>
      </c>
      <c r="G191" s="152"/>
      <c r="H191" s="153"/>
      <c r="I191" s="154" t="str">
        <f t="shared" si="8"/>
        <v/>
      </c>
    </row>
    <row r="192" spans="1:9">
      <c r="A192" s="152" t="s">
        <v>972</v>
      </c>
      <c r="B192" s="153">
        <v>42953</v>
      </c>
      <c r="C192" s="154" t="str">
        <f t="shared" si="6"/>
        <v>(일)</v>
      </c>
      <c r="D192" s="152"/>
      <c r="E192" s="153"/>
      <c r="F192" s="154" t="str">
        <f t="shared" si="7"/>
        <v/>
      </c>
      <c r="G192" s="152"/>
      <c r="H192" s="153"/>
      <c r="I192" s="154" t="str">
        <f t="shared" si="8"/>
        <v/>
      </c>
    </row>
    <row r="193" spans="1:9">
      <c r="A193" s="152" t="s">
        <v>972</v>
      </c>
      <c r="B193" s="153">
        <v>42959</v>
      </c>
      <c r="C193" s="154" t="str">
        <f t="shared" si="6"/>
        <v>(토)</v>
      </c>
      <c r="D193" s="152"/>
      <c r="E193" s="153"/>
      <c r="F193" s="154" t="str">
        <f t="shared" si="7"/>
        <v/>
      </c>
      <c r="G193" s="152"/>
      <c r="H193" s="153"/>
      <c r="I193" s="154" t="str">
        <f t="shared" si="8"/>
        <v/>
      </c>
    </row>
    <row r="194" spans="1:9">
      <c r="A194" s="152" t="s">
        <v>972</v>
      </c>
      <c r="B194" s="153">
        <v>42960</v>
      </c>
      <c r="C194" s="154" t="str">
        <f t="shared" si="6"/>
        <v>(일)</v>
      </c>
      <c r="D194" s="152"/>
      <c r="E194" s="153"/>
      <c r="F194" s="154" t="str">
        <f t="shared" si="7"/>
        <v/>
      </c>
      <c r="G194" s="152"/>
      <c r="H194" s="153"/>
      <c r="I194" s="154" t="str">
        <f t="shared" si="8"/>
        <v/>
      </c>
    </row>
    <row r="195" spans="1:9">
      <c r="A195" s="152" t="s">
        <v>973</v>
      </c>
      <c r="B195" s="153">
        <v>42962</v>
      </c>
      <c r="C195" s="154" t="str">
        <f t="shared" si="6"/>
        <v>(화)</v>
      </c>
      <c r="D195" s="152"/>
      <c r="E195" s="153"/>
      <c r="F195" s="154" t="str">
        <f t="shared" si="7"/>
        <v/>
      </c>
      <c r="G195" s="152"/>
      <c r="H195" s="153"/>
      <c r="I195" s="154" t="str">
        <f t="shared" si="8"/>
        <v/>
      </c>
    </row>
    <row r="196" spans="1:9">
      <c r="A196" s="152" t="s">
        <v>972</v>
      </c>
      <c r="B196" s="153">
        <v>42966</v>
      </c>
      <c r="C196" s="154" t="str">
        <f t="shared" si="6"/>
        <v>(토)</v>
      </c>
      <c r="D196" s="152"/>
      <c r="E196" s="153"/>
      <c r="F196" s="154" t="str">
        <f t="shared" si="7"/>
        <v/>
      </c>
      <c r="G196" s="152"/>
      <c r="H196" s="153"/>
      <c r="I196" s="154" t="str">
        <f t="shared" si="8"/>
        <v/>
      </c>
    </row>
    <row r="197" spans="1:9">
      <c r="A197" s="152" t="s">
        <v>972</v>
      </c>
      <c r="B197" s="153">
        <v>42967</v>
      </c>
      <c r="C197" s="154" t="str">
        <f t="shared" ref="C197:C260" si="9">IF(B197&gt;0,TEXT(B197,"(aaa)"),"")</f>
        <v>(일)</v>
      </c>
      <c r="D197" s="152"/>
      <c r="E197" s="153"/>
      <c r="F197" s="154" t="str">
        <f t="shared" ref="F197:F260" si="10">IF(E197&gt;0,TEXT(E197,"(aaa)"),"")</f>
        <v/>
      </c>
      <c r="G197" s="152"/>
      <c r="H197" s="153"/>
      <c r="I197" s="154" t="str">
        <f t="shared" ref="I197:I260" si="11">IF(H197&gt;0,TEXT(H197,"(aaa)"),"")</f>
        <v/>
      </c>
    </row>
    <row r="198" spans="1:9">
      <c r="A198" s="152" t="s">
        <v>972</v>
      </c>
      <c r="B198" s="153">
        <v>42973</v>
      </c>
      <c r="C198" s="154" t="str">
        <f t="shared" si="9"/>
        <v>(토)</v>
      </c>
      <c r="D198" s="152"/>
      <c r="E198" s="153"/>
      <c r="F198" s="154" t="str">
        <f t="shared" si="10"/>
        <v/>
      </c>
      <c r="G198" s="152"/>
      <c r="H198" s="153"/>
      <c r="I198" s="154" t="str">
        <f t="shared" si="11"/>
        <v/>
      </c>
    </row>
    <row r="199" spans="1:9">
      <c r="A199" s="152" t="s">
        <v>972</v>
      </c>
      <c r="B199" s="153">
        <v>42974</v>
      </c>
      <c r="C199" s="154" t="str">
        <f t="shared" si="9"/>
        <v>(일)</v>
      </c>
      <c r="D199" s="152"/>
      <c r="E199" s="153"/>
      <c r="F199" s="154" t="str">
        <f t="shared" si="10"/>
        <v/>
      </c>
      <c r="G199" s="152"/>
      <c r="H199" s="153"/>
      <c r="I199" s="154" t="str">
        <f t="shared" si="11"/>
        <v/>
      </c>
    </row>
    <row r="200" spans="1:9">
      <c r="A200" s="152" t="s">
        <v>974</v>
      </c>
      <c r="B200" s="153">
        <v>42980</v>
      </c>
      <c r="C200" s="154" t="str">
        <f t="shared" si="9"/>
        <v>(토)</v>
      </c>
      <c r="D200" s="152"/>
      <c r="E200" s="153"/>
      <c r="F200" s="154" t="str">
        <f t="shared" si="10"/>
        <v/>
      </c>
      <c r="G200" s="152"/>
      <c r="H200" s="153"/>
      <c r="I200" s="154" t="str">
        <f t="shared" si="11"/>
        <v/>
      </c>
    </row>
    <row r="201" spans="1:9">
      <c r="A201" s="152" t="s">
        <v>974</v>
      </c>
      <c r="B201" s="153">
        <v>42981</v>
      </c>
      <c r="C201" s="154" t="str">
        <f t="shared" si="9"/>
        <v>(일)</v>
      </c>
      <c r="D201" s="152"/>
      <c r="E201" s="153"/>
      <c r="F201" s="154" t="str">
        <f t="shared" si="10"/>
        <v/>
      </c>
      <c r="G201" s="152"/>
      <c r="H201" s="153"/>
      <c r="I201" s="154" t="str">
        <f t="shared" si="11"/>
        <v/>
      </c>
    </row>
    <row r="202" spans="1:9">
      <c r="A202" s="152" t="s">
        <v>974</v>
      </c>
      <c r="B202" s="153">
        <v>42987</v>
      </c>
      <c r="C202" s="154" t="str">
        <f t="shared" si="9"/>
        <v>(토)</v>
      </c>
      <c r="D202" s="152"/>
      <c r="E202" s="153"/>
      <c r="F202" s="154" t="str">
        <f t="shared" si="10"/>
        <v/>
      </c>
      <c r="G202" s="152"/>
      <c r="H202" s="153"/>
      <c r="I202" s="154" t="str">
        <f t="shared" si="11"/>
        <v/>
      </c>
    </row>
    <row r="203" spans="1:9">
      <c r="A203" s="152" t="s">
        <v>974</v>
      </c>
      <c r="B203" s="153">
        <v>42988</v>
      </c>
      <c r="C203" s="154" t="str">
        <f t="shared" si="9"/>
        <v>(일)</v>
      </c>
      <c r="D203" s="152"/>
      <c r="E203" s="153"/>
      <c r="F203" s="154" t="str">
        <f t="shared" si="10"/>
        <v/>
      </c>
      <c r="G203" s="152"/>
      <c r="H203" s="153"/>
      <c r="I203" s="154" t="str">
        <f t="shared" si="11"/>
        <v/>
      </c>
    </row>
    <row r="204" spans="1:9">
      <c r="A204" s="152" t="s">
        <v>974</v>
      </c>
      <c r="B204" s="153">
        <v>42994</v>
      </c>
      <c r="C204" s="154" t="str">
        <f t="shared" si="9"/>
        <v>(토)</v>
      </c>
      <c r="D204" s="152"/>
      <c r="E204" s="153"/>
      <c r="F204" s="154" t="str">
        <f t="shared" si="10"/>
        <v/>
      </c>
      <c r="G204" s="152"/>
      <c r="H204" s="153"/>
      <c r="I204" s="154" t="str">
        <f t="shared" si="11"/>
        <v/>
      </c>
    </row>
    <row r="205" spans="1:9">
      <c r="A205" s="152" t="s">
        <v>974</v>
      </c>
      <c r="B205" s="153">
        <v>42995</v>
      </c>
      <c r="C205" s="154" t="str">
        <f t="shared" si="9"/>
        <v>(일)</v>
      </c>
      <c r="D205" s="152"/>
      <c r="E205" s="153"/>
      <c r="F205" s="154" t="str">
        <f t="shared" si="10"/>
        <v/>
      </c>
      <c r="G205" s="152"/>
      <c r="H205" s="153"/>
      <c r="I205" s="154" t="str">
        <f t="shared" si="11"/>
        <v/>
      </c>
    </row>
    <row r="206" spans="1:9">
      <c r="A206" s="152" t="s">
        <v>974</v>
      </c>
      <c r="B206" s="153">
        <v>43001</v>
      </c>
      <c r="C206" s="154" t="str">
        <f t="shared" si="9"/>
        <v>(토)</v>
      </c>
      <c r="D206" s="152"/>
      <c r="E206" s="153"/>
      <c r="F206" s="154" t="str">
        <f t="shared" si="10"/>
        <v/>
      </c>
      <c r="G206" s="152"/>
      <c r="H206" s="153"/>
      <c r="I206" s="154" t="str">
        <f t="shared" si="11"/>
        <v/>
      </c>
    </row>
    <row r="207" spans="1:9">
      <c r="A207" s="152" t="s">
        <v>974</v>
      </c>
      <c r="B207" s="153">
        <v>43002</v>
      </c>
      <c r="C207" s="154" t="str">
        <f t="shared" si="9"/>
        <v>(일)</v>
      </c>
      <c r="D207" s="152"/>
      <c r="E207" s="153"/>
      <c r="F207" s="154" t="str">
        <f t="shared" si="10"/>
        <v/>
      </c>
      <c r="G207" s="152"/>
      <c r="H207" s="153"/>
      <c r="I207" s="154" t="str">
        <f t="shared" si="11"/>
        <v/>
      </c>
    </row>
    <row r="208" spans="1:9">
      <c r="A208" s="152" t="s">
        <v>974</v>
      </c>
      <c r="B208" s="153">
        <v>43008</v>
      </c>
      <c r="C208" s="154" t="str">
        <f t="shared" si="9"/>
        <v>(토)</v>
      </c>
      <c r="D208" s="152"/>
      <c r="E208" s="153"/>
      <c r="F208" s="154" t="str">
        <f t="shared" si="10"/>
        <v/>
      </c>
      <c r="G208" s="152"/>
      <c r="H208" s="153"/>
      <c r="I208" s="154" t="str">
        <f t="shared" si="11"/>
        <v/>
      </c>
    </row>
    <row r="209" spans="1:9">
      <c r="A209" s="152" t="s">
        <v>975</v>
      </c>
      <c r="B209" s="153">
        <v>43009</v>
      </c>
      <c r="C209" s="154" t="str">
        <f t="shared" si="9"/>
        <v>(일)</v>
      </c>
      <c r="D209" s="152"/>
      <c r="E209" s="153"/>
      <c r="F209" s="154" t="str">
        <f t="shared" si="10"/>
        <v/>
      </c>
      <c r="G209" s="152"/>
      <c r="H209" s="153"/>
      <c r="I209" s="154" t="str">
        <f t="shared" si="11"/>
        <v/>
      </c>
    </row>
    <row r="210" spans="1:9">
      <c r="A210" s="152" t="s">
        <v>976</v>
      </c>
      <c r="B210" s="153">
        <v>43011</v>
      </c>
      <c r="C210" s="154" t="str">
        <f t="shared" si="9"/>
        <v>(화)</v>
      </c>
      <c r="D210" s="152"/>
      <c r="E210" s="153"/>
      <c r="F210" s="154" t="str">
        <f t="shared" si="10"/>
        <v/>
      </c>
      <c r="G210" s="152"/>
      <c r="H210" s="153"/>
      <c r="I210" s="154" t="str">
        <f t="shared" si="11"/>
        <v/>
      </c>
    </row>
    <row r="211" spans="1:9">
      <c r="A211" s="152" t="s">
        <v>977</v>
      </c>
      <c r="B211" s="153">
        <v>43012</v>
      </c>
      <c r="C211" s="154" t="str">
        <f t="shared" si="9"/>
        <v>(수)</v>
      </c>
      <c r="D211" s="152"/>
      <c r="E211" s="153"/>
      <c r="F211" s="154" t="str">
        <f t="shared" si="10"/>
        <v/>
      </c>
      <c r="G211" s="152"/>
      <c r="H211" s="153"/>
      <c r="I211" s="154" t="str">
        <f t="shared" si="11"/>
        <v/>
      </c>
    </row>
    <row r="212" spans="1:9">
      <c r="A212" s="152" t="s">
        <v>978</v>
      </c>
      <c r="B212" s="153">
        <v>43013</v>
      </c>
      <c r="C212" s="154" t="str">
        <f t="shared" si="9"/>
        <v>(목)</v>
      </c>
      <c r="D212" s="152"/>
      <c r="E212" s="153"/>
      <c r="F212" s="154" t="str">
        <f t="shared" si="10"/>
        <v/>
      </c>
      <c r="G212" s="152"/>
      <c r="H212" s="153"/>
      <c r="I212" s="154" t="str">
        <f t="shared" si="11"/>
        <v/>
      </c>
    </row>
    <row r="213" spans="1:9">
      <c r="A213" s="152" t="s">
        <v>979</v>
      </c>
      <c r="B213" s="153">
        <v>43014</v>
      </c>
      <c r="C213" s="154" t="str">
        <f t="shared" si="9"/>
        <v>(금)</v>
      </c>
      <c r="D213" s="152"/>
      <c r="E213" s="153"/>
      <c r="F213" s="154" t="str">
        <f t="shared" si="10"/>
        <v/>
      </c>
      <c r="G213" s="152"/>
      <c r="H213" s="153"/>
      <c r="I213" s="154" t="str">
        <f t="shared" si="11"/>
        <v/>
      </c>
    </row>
    <row r="214" spans="1:9">
      <c r="A214" s="152" t="s">
        <v>975</v>
      </c>
      <c r="B214" s="153">
        <v>43015</v>
      </c>
      <c r="C214" s="154" t="str">
        <f t="shared" si="9"/>
        <v>(토)</v>
      </c>
      <c r="D214" s="152"/>
      <c r="E214" s="153"/>
      <c r="F214" s="154" t="str">
        <f t="shared" si="10"/>
        <v/>
      </c>
      <c r="G214" s="152"/>
      <c r="H214" s="153"/>
      <c r="I214" s="154" t="str">
        <f t="shared" si="11"/>
        <v/>
      </c>
    </row>
    <row r="215" spans="1:9">
      <c r="A215" s="152" t="s">
        <v>975</v>
      </c>
      <c r="B215" s="153">
        <v>43016</v>
      </c>
      <c r="C215" s="154" t="str">
        <f t="shared" si="9"/>
        <v>(일)</v>
      </c>
      <c r="D215" s="152"/>
      <c r="E215" s="153"/>
      <c r="F215" s="154" t="str">
        <f t="shared" si="10"/>
        <v/>
      </c>
      <c r="G215" s="152"/>
      <c r="H215" s="153"/>
      <c r="I215" s="154" t="str">
        <f t="shared" si="11"/>
        <v/>
      </c>
    </row>
    <row r="216" spans="1:9">
      <c r="A216" s="152" t="s">
        <v>980</v>
      </c>
      <c r="B216" s="153">
        <v>43017</v>
      </c>
      <c r="C216" s="154" t="str">
        <f t="shared" si="9"/>
        <v>(월)</v>
      </c>
      <c r="D216" s="152"/>
      <c r="E216" s="153"/>
      <c r="F216" s="154" t="str">
        <f t="shared" si="10"/>
        <v/>
      </c>
      <c r="G216" s="152"/>
      <c r="H216" s="153"/>
      <c r="I216" s="154" t="str">
        <f t="shared" si="11"/>
        <v/>
      </c>
    </row>
    <row r="217" spans="1:9">
      <c r="A217" s="152" t="s">
        <v>975</v>
      </c>
      <c r="B217" s="153">
        <v>43022</v>
      </c>
      <c r="C217" s="154" t="str">
        <f t="shared" si="9"/>
        <v>(토)</v>
      </c>
      <c r="D217" s="152"/>
      <c r="E217" s="153"/>
      <c r="F217" s="154" t="str">
        <f t="shared" si="10"/>
        <v/>
      </c>
      <c r="G217" s="152"/>
      <c r="H217" s="153"/>
      <c r="I217" s="154" t="str">
        <f t="shared" si="11"/>
        <v/>
      </c>
    </row>
    <row r="218" spans="1:9">
      <c r="A218" s="152" t="s">
        <v>975</v>
      </c>
      <c r="B218" s="153">
        <v>43023</v>
      </c>
      <c r="C218" s="154" t="str">
        <f t="shared" si="9"/>
        <v>(일)</v>
      </c>
      <c r="D218" s="152"/>
      <c r="E218" s="153"/>
      <c r="F218" s="154" t="str">
        <f t="shared" si="10"/>
        <v/>
      </c>
      <c r="G218" s="152"/>
      <c r="H218" s="153"/>
      <c r="I218" s="154" t="str">
        <f t="shared" si="11"/>
        <v/>
      </c>
    </row>
    <row r="219" spans="1:9">
      <c r="A219" s="152" t="s">
        <v>975</v>
      </c>
      <c r="B219" s="153">
        <v>43029</v>
      </c>
      <c r="C219" s="154" t="str">
        <f t="shared" si="9"/>
        <v>(토)</v>
      </c>
      <c r="D219" s="152"/>
      <c r="E219" s="153"/>
      <c r="F219" s="154" t="str">
        <f t="shared" si="10"/>
        <v/>
      </c>
      <c r="G219" s="152"/>
      <c r="H219" s="153"/>
      <c r="I219" s="154" t="str">
        <f t="shared" si="11"/>
        <v/>
      </c>
    </row>
    <row r="220" spans="1:9">
      <c r="A220" s="152" t="s">
        <v>975</v>
      </c>
      <c r="B220" s="153">
        <v>43030</v>
      </c>
      <c r="C220" s="154" t="str">
        <f t="shared" si="9"/>
        <v>(일)</v>
      </c>
      <c r="D220" s="152"/>
      <c r="E220" s="153"/>
      <c r="F220" s="154" t="str">
        <f t="shared" si="10"/>
        <v/>
      </c>
      <c r="G220" s="152"/>
      <c r="H220" s="153"/>
      <c r="I220" s="154" t="str">
        <f t="shared" si="11"/>
        <v/>
      </c>
    </row>
    <row r="221" spans="1:9">
      <c r="A221" s="152" t="s">
        <v>975</v>
      </c>
      <c r="B221" s="153">
        <v>43036</v>
      </c>
      <c r="C221" s="154" t="str">
        <f t="shared" si="9"/>
        <v>(토)</v>
      </c>
      <c r="D221" s="152"/>
      <c r="E221" s="153"/>
      <c r="F221" s="154" t="str">
        <f t="shared" si="10"/>
        <v/>
      </c>
      <c r="G221" s="152"/>
      <c r="H221" s="153"/>
      <c r="I221" s="154" t="str">
        <f t="shared" si="11"/>
        <v/>
      </c>
    </row>
    <row r="222" spans="1:9">
      <c r="A222" s="152" t="s">
        <v>975</v>
      </c>
      <c r="B222" s="153">
        <v>43037</v>
      </c>
      <c r="C222" s="154" t="str">
        <f t="shared" si="9"/>
        <v>(일)</v>
      </c>
      <c r="D222" s="152"/>
      <c r="E222" s="153"/>
      <c r="F222" s="154" t="str">
        <f t="shared" si="10"/>
        <v/>
      </c>
      <c r="G222" s="152"/>
      <c r="H222" s="153"/>
      <c r="I222" s="154" t="str">
        <f t="shared" si="11"/>
        <v/>
      </c>
    </row>
    <row r="223" spans="1:9">
      <c r="A223" s="152" t="s">
        <v>981</v>
      </c>
      <c r="B223" s="153">
        <v>43043</v>
      </c>
      <c r="C223" s="154" t="str">
        <f t="shared" si="9"/>
        <v>(토)</v>
      </c>
      <c r="D223" s="152"/>
      <c r="E223" s="153"/>
      <c r="F223" s="154" t="str">
        <f t="shared" si="10"/>
        <v/>
      </c>
      <c r="G223" s="152"/>
      <c r="H223" s="153"/>
      <c r="I223" s="154" t="str">
        <f t="shared" si="11"/>
        <v/>
      </c>
    </row>
    <row r="224" spans="1:9">
      <c r="A224" s="152" t="s">
        <v>981</v>
      </c>
      <c r="B224" s="153">
        <v>43044</v>
      </c>
      <c r="C224" s="154" t="str">
        <f t="shared" si="9"/>
        <v>(일)</v>
      </c>
      <c r="D224" s="152"/>
      <c r="E224" s="153"/>
      <c r="F224" s="154" t="str">
        <f t="shared" si="10"/>
        <v/>
      </c>
      <c r="G224" s="152"/>
      <c r="H224" s="153"/>
      <c r="I224" s="154" t="str">
        <f t="shared" si="11"/>
        <v/>
      </c>
    </row>
    <row r="225" spans="1:9">
      <c r="A225" s="152" t="s">
        <v>981</v>
      </c>
      <c r="B225" s="153">
        <v>43050</v>
      </c>
      <c r="C225" s="154" t="str">
        <f t="shared" si="9"/>
        <v>(토)</v>
      </c>
      <c r="D225" s="152"/>
      <c r="E225" s="153"/>
      <c r="F225" s="154" t="str">
        <f t="shared" si="10"/>
        <v/>
      </c>
      <c r="G225" s="152"/>
      <c r="H225" s="153"/>
      <c r="I225" s="154" t="str">
        <f t="shared" si="11"/>
        <v/>
      </c>
    </row>
    <row r="226" spans="1:9">
      <c r="A226" s="152" t="s">
        <v>981</v>
      </c>
      <c r="B226" s="153">
        <v>43051</v>
      </c>
      <c r="C226" s="154" t="str">
        <f t="shared" si="9"/>
        <v>(일)</v>
      </c>
      <c r="D226" s="152"/>
      <c r="E226" s="153"/>
      <c r="F226" s="154" t="str">
        <f t="shared" si="10"/>
        <v/>
      </c>
      <c r="G226" s="152"/>
      <c r="H226" s="153"/>
      <c r="I226" s="154" t="str">
        <f t="shared" si="11"/>
        <v/>
      </c>
    </row>
    <row r="227" spans="1:9">
      <c r="A227" s="152" t="s">
        <v>981</v>
      </c>
      <c r="B227" s="153">
        <v>43057</v>
      </c>
      <c r="C227" s="154" t="str">
        <f t="shared" si="9"/>
        <v>(토)</v>
      </c>
      <c r="D227" s="152"/>
      <c r="E227" s="153"/>
      <c r="F227" s="154" t="str">
        <f t="shared" si="10"/>
        <v/>
      </c>
      <c r="G227" s="152"/>
      <c r="H227" s="153"/>
      <c r="I227" s="154" t="str">
        <f t="shared" si="11"/>
        <v/>
      </c>
    </row>
    <row r="228" spans="1:9">
      <c r="A228" s="152" t="s">
        <v>981</v>
      </c>
      <c r="B228" s="153">
        <v>43058</v>
      </c>
      <c r="C228" s="154" t="str">
        <f t="shared" si="9"/>
        <v>(일)</v>
      </c>
      <c r="D228" s="152"/>
      <c r="E228" s="153"/>
      <c r="F228" s="154" t="str">
        <f t="shared" si="10"/>
        <v/>
      </c>
      <c r="G228" s="152"/>
      <c r="H228" s="153"/>
      <c r="I228" s="154" t="str">
        <f t="shared" si="11"/>
        <v/>
      </c>
    </row>
    <row r="229" spans="1:9">
      <c r="A229" s="152" t="s">
        <v>981</v>
      </c>
      <c r="B229" s="153">
        <v>43064</v>
      </c>
      <c r="C229" s="154" t="str">
        <f t="shared" si="9"/>
        <v>(토)</v>
      </c>
      <c r="D229" s="152"/>
      <c r="E229" s="153"/>
      <c r="F229" s="154" t="str">
        <f t="shared" si="10"/>
        <v/>
      </c>
      <c r="G229" s="152"/>
      <c r="H229" s="153"/>
      <c r="I229" s="154" t="str">
        <f t="shared" si="11"/>
        <v/>
      </c>
    </row>
    <row r="230" spans="1:9">
      <c r="A230" s="152" t="s">
        <v>981</v>
      </c>
      <c r="B230" s="153">
        <v>43065</v>
      </c>
      <c r="C230" s="154" t="str">
        <f t="shared" si="9"/>
        <v>(일)</v>
      </c>
      <c r="D230" s="152"/>
      <c r="E230" s="153"/>
      <c r="F230" s="154" t="str">
        <f t="shared" si="10"/>
        <v/>
      </c>
      <c r="G230" s="152"/>
      <c r="H230" s="153"/>
      <c r="I230" s="154" t="str">
        <f t="shared" si="11"/>
        <v/>
      </c>
    </row>
    <row r="231" spans="1:9">
      <c r="A231" s="152" t="s">
        <v>982</v>
      </c>
      <c r="B231" s="153">
        <v>43071</v>
      </c>
      <c r="C231" s="154" t="str">
        <f t="shared" si="9"/>
        <v>(토)</v>
      </c>
      <c r="D231" s="152"/>
      <c r="E231" s="153"/>
      <c r="F231" s="154" t="str">
        <f t="shared" si="10"/>
        <v/>
      </c>
      <c r="G231" s="152"/>
      <c r="H231" s="153"/>
      <c r="I231" s="154" t="str">
        <f t="shared" si="11"/>
        <v/>
      </c>
    </row>
    <row r="232" spans="1:9">
      <c r="A232" s="152" t="s">
        <v>982</v>
      </c>
      <c r="B232" s="153">
        <v>43072</v>
      </c>
      <c r="C232" s="154" t="str">
        <f t="shared" si="9"/>
        <v>(일)</v>
      </c>
      <c r="D232" s="152"/>
      <c r="E232" s="153"/>
      <c r="F232" s="154" t="str">
        <f t="shared" si="10"/>
        <v/>
      </c>
      <c r="G232" s="152"/>
      <c r="H232" s="153"/>
      <c r="I232" s="154" t="str">
        <f t="shared" si="11"/>
        <v/>
      </c>
    </row>
    <row r="233" spans="1:9">
      <c r="A233" s="152" t="s">
        <v>982</v>
      </c>
      <c r="B233" s="153">
        <v>43078</v>
      </c>
      <c r="C233" s="154" t="str">
        <f t="shared" si="9"/>
        <v>(토)</v>
      </c>
      <c r="D233" s="152"/>
      <c r="E233" s="153"/>
      <c r="F233" s="154" t="str">
        <f t="shared" si="10"/>
        <v/>
      </c>
      <c r="G233" s="152"/>
      <c r="H233" s="153"/>
      <c r="I233" s="154" t="str">
        <f t="shared" si="11"/>
        <v/>
      </c>
    </row>
    <row r="234" spans="1:9">
      <c r="A234" s="152" t="s">
        <v>982</v>
      </c>
      <c r="B234" s="153">
        <v>43079</v>
      </c>
      <c r="C234" s="154" t="str">
        <f t="shared" si="9"/>
        <v>(일)</v>
      </c>
      <c r="D234" s="152"/>
      <c r="E234" s="153"/>
      <c r="F234" s="154" t="str">
        <f t="shared" si="10"/>
        <v/>
      </c>
      <c r="G234" s="152"/>
      <c r="H234" s="153"/>
      <c r="I234" s="154" t="str">
        <f t="shared" si="11"/>
        <v/>
      </c>
    </row>
    <row r="235" spans="1:9">
      <c r="A235" s="152" t="s">
        <v>982</v>
      </c>
      <c r="B235" s="153">
        <v>43085</v>
      </c>
      <c r="C235" s="154" t="str">
        <f t="shared" si="9"/>
        <v>(토)</v>
      </c>
      <c r="D235" s="152"/>
      <c r="E235" s="153"/>
      <c r="F235" s="154" t="str">
        <f t="shared" si="10"/>
        <v/>
      </c>
      <c r="G235" s="152"/>
      <c r="H235" s="153"/>
      <c r="I235" s="154" t="str">
        <f t="shared" si="11"/>
        <v/>
      </c>
    </row>
    <row r="236" spans="1:9">
      <c r="A236" s="152" t="s">
        <v>982</v>
      </c>
      <c r="B236" s="153">
        <v>43086</v>
      </c>
      <c r="C236" s="154" t="str">
        <f t="shared" si="9"/>
        <v>(일)</v>
      </c>
      <c r="D236" s="152"/>
      <c r="E236" s="153"/>
      <c r="F236" s="154" t="str">
        <f t="shared" si="10"/>
        <v/>
      </c>
      <c r="G236" s="152"/>
      <c r="H236" s="153"/>
      <c r="I236" s="154" t="str">
        <f t="shared" si="11"/>
        <v/>
      </c>
    </row>
    <row r="237" spans="1:9">
      <c r="A237" s="152" t="s">
        <v>982</v>
      </c>
      <c r="B237" s="153">
        <v>43092</v>
      </c>
      <c r="C237" s="154" t="str">
        <f t="shared" si="9"/>
        <v>(토)</v>
      </c>
      <c r="D237" s="152"/>
      <c r="E237" s="153"/>
      <c r="F237" s="154" t="str">
        <f t="shared" si="10"/>
        <v/>
      </c>
      <c r="G237" s="152"/>
      <c r="H237" s="153"/>
      <c r="I237" s="154" t="str">
        <f t="shared" si="11"/>
        <v/>
      </c>
    </row>
    <row r="238" spans="1:9">
      <c r="A238" s="152" t="s">
        <v>982</v>
      </c>
      <c r="B238" s="153">
        <v>43093</v>
      </c>
      <c r="C238" s="154" t="str">
        <f t="shared" si="9"/>
        <v>(일)</v>
      </c>
      <c r="D238" s="152"/>
      <c r="E238" s="153"/>
      <c r="F238" s="154" t="str">
        <f t="shared" si="10"/>
        <v/>
      </c>
      <c r="G238" s="152"/>
      <c r="H238" s="153"/>
      <c r="I238" s="154" t="str">
        <f t="shared" si="11"/>
        <v/>
      </c>
    </row>
    <row r="239" spans="1:9">
      <c r="A239" s="152" t="s">
        <v>983</v>
      </c>
      <c r="B239" s="153">
        <v>43094</v>
      </c>
      <c r="C239" s="154" t="str">
        <f t="shared" si="9"/>
        <v>(월)</v>
      </c>
      <c r="D239" s="152"/>
      <c r="E239" s="153"/>
      <c r="F239" s="154" t="str">
        <f t="shared" si="10"/>
        <v/>
      </c>
      <c r="G239" s="152"/>
      <c r="H239" s="153"/>
      <c r="I239" s="154" t="str">
        <f t="shared" si="11"/>
        <v/>
      </c>
    </row>
    <row r="240" spans="1:9">
      <c r="A240" s="152" t="s">
        <v>982</v>
      </c>
      <c r="B240" s="153">
        <v>43099</v>
      </c>
      <c r="C240" s="154" t="str">
        <f t="shared" si="9"/>
        <v>(토)</v>
      </c>
      <c r="D240" s="152"/>
      <c r="E240" s="153"/>
      <c r="F240" s="154" t="str">
        <f t="shared" si="10"/>
        <v/>
      </c>
      <c r="G240" s="152"/>
      <c r="H240" s="153"/>
      <c r="I240" s="154" t="str">
        <f t="shared" si="11"/>
        <v/>
      </c>
    </row>
    <row r="241" spans="1:9">
      <c r="A241" s="152" t="s">
        <v>982</v>
      </c>
      <c r="B241" s="153">
        <v>43100</v>
      </c>
      <c r="C241" s="154" t="str">
        <f t="shared" si="9"/>
        <v>(일)</v>
      </c>
      <c r="D241" s="152"/>
      <c r="E241" s="153"/>
      <c r="F241" s="154" t="str">
        <f t="shared" si="10"/>
        <v/>
      </c>
      <c r="G241" s="152"/>
      <c r="H241" s="153"/>
      <c r="I241" s="154" t="str">
        <f t="shared" si="11"/>
        <v/>
      </c>
    </row>
    <row r="242" spans="1:9">
      <c r="A242" s="152"/>
      <c r="B242" s="153"/>
      <c r="C242" s="154" t="str">
        <f t="shared" si="9"/>
        <v/>
      </c>
      <c r="D242" s="152"/>
      <c r="E242" s="153"/>
      <c r="F242" s="154" t="str">
        <f t="shared" si="10"/>
        <v/>
      </c>
      <c r="G242" s="152"/>
      <c r="H242" s="153"/>
      <c r="I242" s="154" t="str">
        <f t="shared" si="11"/>
        <v/>
      </c>
    </row>
    <row r="243" spans="1:9">
      <c r="A243" s="152"/>
      <c r="B243" s="153"/>
      <c r="C243" s="154" t="str">
        <f t="shared" si="9"/>
        <v/>
      </c>
      <c r="D243" s="152"/>
      <c r="E243" s="153"/>
      <c r="F243" s="154" t="str">
        <f t="shared" si="10"/>
        <v/>
      </c>
      <c r="G243" s="152"/>
      <c r="H243" s="153"/>
      <c r="I243" s="154" t="str">
        <f t="shared" si="11"/>
        <v/>
      </c>
    </row>
    <row r="244" spans="1:9">
      <c r="A244" s="152"/>
      <c r="B244" s="153"/>
      <c r="C244" s="154" t="str">
        <f t="shared" si="9"/>
        <v/>
      </c>
      <c r="D244" s="152"/>
      <c r="E244" s="153"/>
      <c r="F244" s="154" t="str">
        <f t="shared" si="10"/>
        <v/>
      </c>
      <c r="G244" s="152"/>
      <c r="H244" s="153"/>
      <c r="I244" s="154" t="str">
        <f t="shared" si="11"/>
        <v/>
      </c>
    </row>
    <row r="245" spans="1:9">
      <c r="A245" s="152"/>
      <c r="B245" s="153"/>
      <c r="C245" s="154" t="str">
        <f t="shared" si="9"/>
        <v/>
      </c>
      <c r="D245" s="152"/>
      <c r="E245" s="153"/>
      <c r="F245" s="154" t="str">
        <f t="shared" si="10"/>
        <v/>
      </c>
      <c r="G245" s="152"/>
      <c r="H245" s="153"/>
      <c r="I245" s="154" t="str">
        <f t="shared" si="11"/>
        <v/>
      </c>
    </row>
    <row r="246" spans="1:9">
      <c r="A246" s="152"/>
      <c r="B246" s="153"/>
      <c r="C246" s="154" t="str">
        <f t="shared" si="9"/>
        <v/>
      </c>
      <c r="D246" s="152"/>
      <c r="E246" s="153"/>
      <c r="F246" s="154" t="str">
        <f t="shared" si="10"/>
        <v/>
      </c>
      <c r="G246" s="152"/>
      <c r="H246" s="153"/>
      <c r="I246" s="154" t="str">
        <f t="shared" si="11"/>
        <v/>
      </c>
    </row>
    <row r="247" spans="1:9">
      <c r="A247" s="152"/>
      <c r="B247" s="153"/>
      <c r="C247" s="154" t="str">
        <f t="shared" si="9"/>
        <v/>
      </c>
      <c r="D247" s="152"/>
      <c r="E247" s="153"/>
      <c r="F247" s="154" t="str">
        <f t="shared" si="10"/>
        <v/>
      </c>
      <c r="G247" s="152"/>
      <c r="H247" s="153"/>
      <c r="I247" s="154" t="str">
        <f t="shared" si="11"/>
        <v/>
      </c>
    </row>
    <row r="248" spans="1:9">
      <c r="A248" s="152"/>
      <c r="B248" s="153"/>
      <c r="C248" s="154" t="str">
        <f t="shared" si="9"/>
        <v/>
      </c>
      <c r="D248" s="152"/>
      <c r="E248" s="153"/>
      <c r="F248" s="154" t="str">
        <f t="shared" si="10"/>
        <v/>
      </c>
      <c r="G248" s="152"/>
      <c r="H248" s="153"/>
      <c r="I248" s="154" t="str">
        <f t="shared" si="11"/>
        <v/>
      </c>
    </row>
    <row r="249" spans="1:9">
      <c r="A249" s="152"/>
      <c r="B249" s="153"/>
      <c r="C249" s="154" t="str">
        <f t="shared" si="9"/>
        <v/>
      </c>
      <c r="D249" s="152"/>
      <c r="E249" s="153"/>
      <c r="F249" s="154" t="str">
        <f t="shared" si="10"/>
        <v/>
      </c>
      <c r="G249" s="152"/>
      <c r="H249" s="153"/>
      <c r="I249" s="154" t="str">
        <f t="shared" si="11"/>
        <v/>
      </c>
    </row>
    <row r="250" spans="1:9">
      <c r="A250" s="152"/>
      <c r="B250" s="153"/>
      <c r="C250" s="154" t="str">
        <f t="shared" si="9"/>
        <v/>
      </c>
      <c r="D250" s="152"/>
      <c r="E250" s="153"/>
      <c r="F250" s="154" t="str">
        <f t="shared" si="10"/>
        <v/>
      </c>
      <c r="G250" s="152"/>
      <c r="H250" s="153"/>
      <c r="I250" s="154" t="str">
        <f t="shared" si="11"/>
        <v/>
      </c>
    </row>
    <row r="251" spans="1:9">
      <c r="A251" s="152"/>
      <c r="B251" s="153"/>
      <c r="C251" s="154" t="str">
        <f t="shared" si="9"/>
        <v/>
      </c>
      <c r="D251" s="152"/>
      <c r="E251" s="153"/>
      <c r="F251" s="154" t="str">
        <f t="shared" si="10"/>
        <v/>
      </c>
      <c r="G251" s="152"/>
      <c r="H251" s="153"/>
      <c r="I251" s="154" t="str">
        <f t="shared" si="11"/>
        <v/>
      </c>
    </row>
    <row r="252" spans="1:9">
      <c r="A252" s="152"/>
      <c r="B252" s="153"/>
      <c r="C252" s="154" t="str">
        <f t="shared" si="9"/>
        <v/>
      </c>
      <c r="D252" s="152"/>
      <c r="E252" s="153"/>
      <c r="F252" s="154" t="str">
        <f t="shared" si="10"/>
        <v/>
      </c>
      <c r="G252" s="152"/>
      <c r="H252" s="153"/>
      <c r="I252" s="154" t="str">
        <f t="shared" si="11"/>
        <v/>
      </c>
    </row>
    <row r="253" spans="1:9">
      <c r="A253" s="152"/>
      <c r="B253" s="153"/>
      <c r="C253" s="154" t="str">
        <f t="shared" si="9"/>
        <v/>
      </c>
      <c r="D253" s="152"/>
      <c r="E253" s="153"/>
      <c r="F253" s="154" t="str">
        <f t="shared" si="10"/>
        <v/>
      </c>
      <c r="G253" s="152"/>
      <c r="H253" s="153"/>
      <c r="I253" s="154" t="str">
        <f t="shared" si="11"/>
        <v/>
      </c>
    </row>
    <row r="254" spans="1:9">
      <c r="A254" s="152"/>
      <c r="B254" s="153"/>
      <c r="C254" s="154" t="str">
        <f t="shared" si="9"/>
        <v/>
      </c>
      <c r="D254" s="152"/>
      <c r="E254" s="153"/>
      <c r="F254" s="154" t="str">
        <f t="shared" si="10"/>
        <v/>
      </c>
      <c r="G254" s="152"/>
      <c r="H254" s="153"/>
      <c r="I254" s="154" t="str">
        <f t="shared" si="11"/>
        <v/>
      </c>
    </row>
    <row r="255" spans="1:9">
      <c r="A255" s="152"/>
      <c r="B255" s="153"/>
      <c r="C255" s="154" t="str">
        <f t="shared" si="9"/>
        <v/>
      </c>
      <c r="D255" s="152"/>
      <c r="E255" s="153"/>
      <c r="F255" s="154" t="str">
        <f t="shared" si="10"/>
        <v/>
      </c>
      <c r="G255" s="152"/>
      <c r="H255" s="153"/>
      <c r="I255" s="154" t="str">
        <f t="shared" si="11"/>
        <v/>
      </c>
    </row>
    <row r="256" spans="1:9">
      <c r="A256" s="152"/>
      <c r="B256" s="153"/>
      <c r="C256" s="154" t="str">
        <f t="shared" si="9"/>
        <v/>
      </c>
      <c r="D256" s="152"/>
      <c r="E256" s="153"/>
      <c r="F256" s="154" t="str">
        <f t="shared" si="10"/>
        <v/>
      </c>
      <c r="G256" s="152"/>
      <c r="H256" s="153"/>
      <c r="I256" s="154" t="str">
        <f t="shared" si="11"/>
        <v/>
      </c>
    </row>
    <row r="257" spans="1:9">
      <c r="A257" s="152"/>
      <c r="B257" s="153"/>
      <c r="C257" s="154" t="str">
        <f t="shared" si="9"/>
        <v/>
      </c>
      <c r="D257" s="152"/>
      <c r="E257" s="153"/>
      <c r="F257" s="154" t="str">
        <f t="shared" si="10"/>
        <v/>
      </c>
      <c r="G257" s="152"/>
      <c r="H257" s="153"/>
      <c r="I257" s="154" t="str">
        <f t="shared" si="11"/>
        <v/>
      </c>
    </row>
    <row r="258" spans="1:9">
      <c r="A258" s="152"/>
      <c r="B258" s="153"/>
      <c r="C258" s="154" t="str">
        <f t="shared" si="9"/>
        <v/>
      </c>
      <c r="D258" s="152"/>
      <c r="E258" s="153"/>
      <c r="F258" s="154" t="str">
        <f t="shared" si="10"/>
        <v/>
      </c>
      <c r="G258" s="152"/>
      <c r="H258" s="153"/>
      <c r="I258" s="154" t="str">
        <f t="shared" si="11"/>
        <v/>
      </c>
    </row>
    <row r="259" spans="1:9">
      <c r="A259" s="152"/>
      <c r="B259" s="153"/>
      <c r="C259" s="154" t="str">
        <f t="shared" si="9"/>
        <v/>
      </c>
      <c r="D259" s="152"/>
      <c r="E259" s="153"/>
      <c r="F259" s="154" t="str">
        <f t="shared" si="10"/>
        <v/>
      </c>
      <c r="G259" s="152"/>
      <c r="H259" s="153"/>
      <c r="I259" s="154" t="str">
        <f t="shared" si="11"/>
        <v/>
      </c>
    </row>
    <row r="260" spans="1:9">
      <c r="A260" s="152"/>
      <c r="B260" s="153"/>
      <c r="C260" s="154" t="str">
        <f t="shared" si="9"/>
        <v/>
      </c>
      <c r="D260" s="152"/>
      <c r="E260" s="153"/>
      <c r="F260" s="154" t="str">
        <f t="shared" si="10"/>
        <v/>
      </c>
      <c r="G260" s="152"/>
      <c r="H260" s="153"/>
      <c r="I260" s="154" t="str">
        <f t="shared" si="11"/>
        <v/>
      </c>
    </row>
    <row r="261" spans="1:9">
      <c r="A261" s="152"/>
      <c r="B261" s="153"/>
      <c r="C261" s="154" t="str">
        <f t="shared" ref="C261:C304" si="12">IF(B261&gt;0,TEXT(B261,"(aaa)"),"")</f>
        <v/>
      </c>
      <c r="D261" s="152"/>
      <c r="E261" s="153"/>
      <c r="F261" s="154" t="str">
        <f t="shared" ref="F261:F304" si="13">IF(E261&gt;0,TEXT(E261,"(aaa)"),"")</f>
        <v/>
      </c>
      <c r="G261" s="152"/>
      <c r="H261" s="153"/>
      <c r="I261" s="154" t="str">
        <f t="shared" ref="I261:I304" si="14">IF(H261&gt;0,TEXT(H261,"(aaa)"),"")</f>
        <v/>
      </c>
    </row>
    <row r="262" spans="1:9">
      <c r="A262" s="152"/>
      <c r="B262" s="153"/>
      <c r="C262" s="154" t="str">
        <f t="shared" si="12"/>
        <v/>
      </c>
      <c r="D262" s="152"/>
      <c r="E262" s="153"/>
      <c r="F262" s="154" t="str">
        <f t="shared" si="13"/>
        <v/>
      </c>
      <c r="G262" s="152"/>
      <c r="H262" s="153"/>
      <c r="I262" s="154" t="str">
        <f t="shared" si="14"/>
        <v/>
      </c>
    </row>
    <row r="263" spans="1:9">
      <c r="A263" s="152"/>
      <c r="B263" s="153"/>
      <c r="C263" s="154" t="str">
        <f t="shared" si="12"/>
        <v/>
      </c>
      <c r="D263" s="152"/>
      <c r="E263" s="153"/>
      <c r="F263" s="154" t="str">
        <f t="shared" si="13"/>
        <v/>
      </c>
      <c r="G263" s="152"/>
      <c r="H263" s="153"/>
      <c r="I263" s="154" t="str">
        <f t="shared" si="14"/>
        <v/>
      </c>
    </row>
    <row r="264" spans="1:9">
      <c r="A264" s="152"/>
      <c r="B264" s="153"/>
      <c r="C264" s="154" t="str">
        <f t="shared" si="12"/>
        <v/>
      </c>
      <c r="D264" s="152"/>
      <c r="E264" s="153"/>
      <c r="F264" s="154" t="str">
        <f t="shared" si="13"/>
        <v/>
      </c>
      <c r="G264" s="152"/>
      <c r="H264" s="153"/>
      <c r="I264" s="154" t="str">
        <f t="shared" si="14"/>
        <v/>
      </c>
    </row>
    <row r="265" spans="1:9">
      <c r="A265" s="152"/>
      <c r="B265" s="153"/>
      <c r="C265" s="154" t="str">
        <f t="shared" si="12"/>
        <v/>
      </c>
      <c r="D265" s="152"/>
      <c r="E265" s="153"/>
      <c r="F265" s="154" t="str">
        <f t="shared" si="13"/>
        <v/>
      </c>
      <c r="G265" s="152"/>
      <c r="H265" s="153"/>
      <c r="I265" s="154" t="str">
        <f t="shared" si="14"/>
        <v/>
      </c>
    </row>
    <row r="266" spans="1:9">
      <c r="A266" s="152"/>
      <c r="B266" s="153"/>
      <c r="C266" s="154" t="str">
        <f t="shared" si="12"/>
        <v/>
      </c>
      <c r="D266" s="152"/>
      <c r="E266" s="153"/>
      <c r="F266" s="154" t="str">
        <f t="shared" si="13"/>
        <v/>
      </c>
      <c r="G266" s="152"/>
      <c r="H266" s="153"/>
      <c r="I266" s="154" t="str">
        <f t="shared" si="14"/>
        <v/>
      </c>
    </row>
    <row r="267" spans="1:9">
      <c r="A267" s="152"/>
      <c r="B267" s="153"/>
      <c r="C267" s="154" t="str">
        <f t="shared" si="12"/>
        <v/>
      </c>
      <c r="D267" s="152"/>
      <c r="E267" s="153"/>
      <c r="F267" s="154" t="str">
        <f t="shared" si="13"/>
        <v/>
      </c>
      <c r="G267" s="152"/>
      <c r="H267" s="153"/>
      <c r="I267" s="154" t="str">
        <f t="shared" si="14"/>
        <v/>
      </c>
    </row>
    <row r="268" spans="1:9">
      <c r="A268" s="152"/>
      <c r="B268" s="153"/>
      <c r="C268" s="154" t="str">
        <f t="shared" si="12"/>
        <v/>
      </c>
      <c r="D268" s="152"/>
      <c r="E268" s="153"/>
      <c r="F268" s="154" t="str">
        <f t="shared" si="13"/>
        <v/>
      </c>
      <c r="G268" s="152"/>
      <c r="H268" s="153"/>
      <c r="I268" s="154" t="str">
        <f t="shared" si="14"/>
        <v/>
      </c>
    </row>
    <row r="269" spans="1:9">
      <c r="A269" s="152"/>
      <c r="B269" s="153"/>
      <c r="C269" s="154" t="str">
        <f t="shared" si="12"/>
        <v/>
      </c>
      <c r="D269" s="152"/>
      <c r="E269" s="153"/>
      <c r="F269" s="154" t="str">
        <f t="shared" si="13"/>
        <v/>
      </c>
      <c r="G269" s="152"/>
      <c r="H269" s="153"/>
      <c r="I269" s="154" t="str">
        <f t="shared" si="14"/>
        <v/>
      </c>
    </row>
    <row r="270" spans="1:9">
      <c r="A270" s="152"/>
      <c r="B270" s="153"/>
      <c r="C270" s="154" t="str">
        <f t="shared" si="12"/>
        <v/>
      </c>
      <c r="D270" s="152"/>
      <c r="E270" s="153"/>
      <c r="F270" s="154" t="str">
        <f t="shared" si="13"/>
        <v/>
      </c>
      <c r="G270" s="152"/>
      <c r="H270" s="153"/>
      <c r="I270" s="154" t="str">
        <f t="shared" si="14"/>
        <v/>
      </c>
    </row>
    <row r="271" spans="1:9">
      <c r="A271" s="152"/>
      <c r="B271" s="153"/>
      <c r="C271" s="154" t="str">
        <f t="shared" si="12"/>
        <v/>
      </c>
      <c r="D271" s="152"/>
      <c r="E271" s="153"/>
      <c r="F271" s="154" t="str">
        <f t="shared" si="13"/>
        <v/>
      </c>
      <c r="G271" s="152"/>
      <c r="H271" s="153"/>
      <c r="I271" s="154" t="str">
        <f t="shared" si="14"/>
        <v/>
      </c>
    </row>
    <row r="272" spans="1:9">
      <c r="A272" s="152"/>
      <c r="B272" s="153"/>
      <c r="C272" s="154" t="str">
        <f t="shared" si="12"/>
        <v/>
      </c>
      <c r="D272" s="152"/>
      <c r="E272" s="153"/>
      <c r="F272" s="154" t="str">
        <f t="shared" si="13"/>
        <v/>
      </c>
      <c r="G272" s="152"/>
      <c r="H272" s="153"/>
      <c r="I272" s="154" t="str">
        <f t="shared" si="14"/>
        <v/>
      </c>
    </row>
    <row r="273" spans="1:9">
      <c r="A273" s="152"/>
      <c r="B273" s="153"/>
      <c r="C273" s="154" t="str">
        <f t="shared" si="12"/>
        <v/>
      </c>
      <c r="D273" s="152"/>
      <c r="E273" s="153"/>
      <c r="F273" s="154" t="str">
        <f t="shared" si="13"/>
        <v/>
      </c>
      <c r="G273" s="152"/>
      <c r="H273" s="153"/>
      <c r="I273" s="154" t="str">
        <f t="shared" si="14"/>
        <v/>
      </c>
    </row>
    <row r="274" spans="1:9">
      <c r="A274" s="152"/>
      <c r="B274" s="153"/>
      <c r="C274" s="154" t="str">
        <f t="shared" si="12"/>
        <v/>
      </c>
      <c r="D274" s="152"/>
      <c r="E274" s="153"/>
      <c r="F274" s="154" t="str">
        <f t="shared" si="13"/>
        <v/>
      </c>
      <c r="G274" s="152"/>
      <c r="H274" s="153"/>
      <c r="I274" s="154" t="str">
        <f t="shared" si="14"/>
        <v/>
      </c>
    </row>
    <row r="275" spans="1:9">
      <c r="A275" s="152"/>
      <c r="B275" s="153"/>
      <c r="C275" s="154" t="str">
        <f t="shared" si="12"/>
        <v/>
      </c>
      <c r="D275" s="152"/>
      <c r="E275" s="153"/>
      <c r="F275" s="154" t="str">
        <f t="shared" si="13"/>
        <v/>
      </c>
      <c r="G275" s="152"/>
      <c r="H275" s="153"/>
      <c r="I275" s="154" t="str">
        <f t="shared" si="14"/>
        <v/>
      </c>
    </row>
    <row r="276" spans="1:9">
      <c r="A276" s="152"/>
      <c r="B276" s="153"/>
      <c r="C276" s="154" t="str">
        <f t="shared" si="12"/>
        <v/>
      </c>
      <c r="D276" s="152"/>
      <c r="E276" s="153"/>
      <c r="F276" s="154" t="str">
        <f t="shared" si="13"/>
        <v/>
      </c>
      <c r="G276" s="152"/>
      <c r="H276" s="153"/>
      <c r="I276" s="154" t="str">
        <f t="shared" si="14"/>
        <v/>
      </c>
    </row>
    <row r="277" spans="1:9">
      <c r="A277" s="152"/>
      <c r="B277" s="153"/>
      <c r="C277" s="154" t="str">
        <f t="shared" si="12"/>
        <v/>
      </c>
      <c r="D277" s="152"/>
      <c r="E277" s="153"/>
      <c r="F277" s="154" t="str">
        <f t="shared" si="13"/>
        <v/>
      </c>
      <c r="G277" s="152"/>
      <c r="H277" s="153"/>
      <c r="I277" s="154" t="str">
        <f t="shared" si="14"/>
        <v/>
      </c>
    </row>
    <row r="278" spans="1:9">
      <c r="A278" s="152"/>
      <c r="B278" s="153"/>
      <c r="C278" s="154" t="str">
        <f t="shared" si="12"/>
        <v/>
      </c>
      <c r="D278" s="152"/>
      <c r="E278" s="153"/>
      <c r="F278" s="154" t="str">
        <f t="shared" si="13"/>
        <v/>
      </c>
      <c r="G278" s="152"/>
      <c r="H278" s="153"/>
      <c r="I278" s="154" t="str">
        <f t="shared" si="14"/>
        <v/>
      </c>
    </row>
    <row r="279" spans="1:9">
      <c r="A279" s="152"/>
      <c r="B279" s="153"/>
      <c r="C279" s="154" t="str">
        <f t="shared" si="12"/>
        <v/>
      </c>
      <c r="D279" s="152"/>
      <c r="E279" s="153"/>
      <c r="F279" s="154" t="str">
        <f t="shared" si="13"/>
        <v/>
      </c>
      <c r="G279" s="152"/>
      <c r="H279" s="153"/>
      <c r="I279" s="154" t="str">
        <f t="shared" si="14"/>
        <v/>
      </c>
    </row>
    <row r="280" spans="1:9">
      <c r="A280" s="152"/>
      <c r="B280" s="153"/>
      <c r="C280" s="154" t="str">
        <f t="shared" si="12"/>
        <v/>
      </c>
      <c r="D280" s="152"/>
      <c r="E280" s="153"/>
      <c r="F280" s="154" t="str">
        <f t="shared" si="13"/>
        <v/>
      </c>
      <c r="G280" s="152"/>
      <c r="H280" s="153"/>
      <c r="I280" s="154" t="str">
        <f t="shared" si="14"/>
        <v/>
      </c>
    </row>
    <row r="281" spans="1:9">
      <c r="A281" s="152"/>
      <c r="B281" s="153"/>
      <c r="C281" s="154" t="str">
        <f t="shared" si="12"/>
        <v/>
      </c>
      <c r="D281" s="152"/>
      <c r="E281" s="153"/>
      <c r="F281" s="154" t="str">
        <f t="shared" si="13"/>
        <v/>
      </c>
      <c r="G281" s="152"/>
      <c r="H281" s="153"/>
      <c r="I281" s="154" t="str">
        <f t="shared" si="14"/>
        <v/>
      </c>
    </row>
    <row r="282" spans="1:9">
      <c r="A282" s="152"/>
      <c r="B282" s="153"/>
      <c r="C282" s="154" t="str">
        <f t="shared" si="12"/>
        <v/>
      </c>
      <c r="D282" s="152"/>
      <c r="E282" s="153"/>
      <c r="F282" s="154" t="str">
        <f t="shared" si="13"/>
        <v/>
      </c>
      <c r="G282" s="152"/>
      <c r="H282" s="153"/>
      <c r="I282" s="154" t="str">
        <f t="shared" si="14"/>
        <v/>
      </c>
    </row>
    <row r="283" spans="1:9">
      <c r="A283" s="152"/>
      <c r="B283" s="153"/>
      <c r="C283" s="154" t="str">
        <f t="shared" si="12"/>
        <v/>
      </c>
      <c r="D283" s="152"/>
      <c r="E283" s="153"/>
      <c r="F283" s="154" t="str">
        <f t="shared" si="13"/>
        <v/>
      </c>
      <c r="G283" s="152"/>
      <c r="H283" s="153"/>
      <c r="I283" s="154" t="str">
        <f t="shared" si="14"/>
        <v/>
      </c>
    </row>
    <row r="284" spans="1:9">
      <c r="A284" s="152"/>
      <c r="B284" s="153"/>
      <c r="C284" s="154" t="str">
        <f t="shared" si="12"/>
        <v/>
      </c>
      <c r="D284" s="152"/>
      <c r="E284" s="153"/>
      <c r="F284" s="154" t="str">
        <f t="shared" si="13"/>
        <v/>
      </c>
      <c r="G284" s="152"/>
      <c r="H284" s="153"/>
      <c r="I284" s="154" t="str">
        <f t="shared" si="14"/>
        <v/>
      </c>
    </row>
    <row r="285" spans="1:9">
      <c r="A285" s="152"/>
      <c r="B285" s="153"/>
      <c r="C285" s="154" t="str">
        <f t="shared" si="12"/>
        <v/>
      </c>
      <c r="D285" s="152"/>
      <c r="E285" s="153"/>
      <c r="F285" s="154" t="str">
        <f t="shared" si="13"/>
        <v/>
      </c>
      <c r="G285" s="152"/>
      <c r="H285" s="153"/>
      <c r="I285" s="154" t="str">
        <f t="shared" si="14"/>
        <v/>
      </c>
    </row>
    <row r="286" spans="1:9">
      <c r="A286" s="152"/>
      <c r="B286" s="153"/>
      <c r="C286" s="154" t="str">
        <f t="shared" si="12"/>
        <v/>
      </c>
      <c r="D286" s="152"/>
      <c r="E286" s="153"/>
      <c r="F286" s="154" t="str">
        <f t="shared" si="13"/>
        <v/>
      </c>
      <c r="G286" s="152"/>
      <c r="H286" s="153"/>
      <c r="I286" s="154" t="str">
        <f t="shared" si="14"/>
        <v/>
      </c>
    </row>
    <row r="287" spans="1:9">
      <c r="A287" s="152"/>
      <c r="B287" s="153"/>
      <c r="C287" s="154" t="str">
        <f t="shared" si="12"/>
        <v/>
      </c>
      <c r="D287" s="152"/>
      <c r="E287" s="153"/>
      <c r="F287" s="154" t="str">
        <f t="shared" si="13"/>
        <v/>
      </c>
      <c r="G287" s="152"/>
      <c r="H287" s="153"/>
      <c r="I287" s="154" t="str">
        <f t="shared" si="14"/>
        <v/>
      </c>
    </row>
    <row r="288" spans="1:9">
      <c r="A288" s="152"/>
      <c r="B288" s="153"/>
      <c r="C288" s="154" t="str">
        <f t="shared" si="12"/>
        <v/>
      </c>
      <c r="D288" s="152"/>
      <c r="E288" s="153"/>
      <c r="F288" s="154" t="str">
        <f t="shared" si="13"/>
        <v/>
      </c>
      <c r="G288" s="152"/>
      <c r="H288" s="153"/>
      <c r="I288" s="154" t="str">
        <f t="shared" si="14"/>
        <v/>
      </c>
    </row>
    <row r="289" spans="1:9">
      <c r="A289" s="152"/>
      <c r="B289" s="153"/>
      <c r="C289" s="154" t="str">
        <f t="shared" si="12"/>
        <v/>
      </c>
      <c r="D289" s="152"/>
      <c r="E289" s="153"/>
      <c r="F289" s="154" t="str">
        <f t="shared" si="13"/>
        <v/>
      </c>
      <c r="G289" s="152"/>
      <c r="H289" s="153"/>
      <c r="I289" s="154" t="str">
        <f t="shared" si="14"/>
        <v/>
      </c>
    </row>
    <row r="290" spans="1:9">
      <c r="A290" s="152"/>
      <c r="B290" s="153"/>
      <c r="C290" s="154" t="str">
        <f t="shared" si="12"/>
        <v/>
      </c>
      <c r="D290" s="152"/>
      <c r="E290" s="153"/>
      <c r="F290" s="154" t="str">
        <f t="shared" si="13"/>
        <v/>
      </c>
      <c r="G290" s="152"/>
      <c r="H290" s="153"/>
      <c r="I290" s="154" t="str">
        <f t="shared" si="14"/>
        <v/>
      </c>
    </row>
    <row r="291" spans="1:9">
      <c r="A291" s="152"/>
      <c r="B291" s="153"/>
      <c r="C291" s="154" t="str">
        <f t="shared" si="12"/>
        <v/>
      </c>
      <c r="D291" s="152"/>
      <c r="E291" s="153"/>
      <c r="F291" s="154" t="str">
        <f t="shared" si="13"/>
        <v/>
      </c>
      <c r="G291" s="152"/>
      <c r="H291" s="153"/>
      <c r="I291" s="154" t="str">
        <f t="shared" si="14"/>
        <v/>
      </c>
    </row>
    <row r="292" spans="1:9">
      <c r="A292" s="152"/>
      <c r="B292" s="153"/>
      <c r="C292" s="154" t="str">
        <f t="shared" si="12"/>
        <v/>
      </c>
      <c r="D292" s="152"/>
      <c r="E292" s="153"/>
      <c r="F292" s="154" t="str">
        <f t="shared" si="13"/>
        <v/>
      </c>
      <c r="G292" s="152"/>
      <c r="H292" s="153"/>
      <c r="I292" s="154" t="str">
        <f t="shared" si="14"/>
        <v/>
      </c>
    </row>
    <row r="293" spans="1:9">
      <c r="A293" s="152"/>
      <c r="B293" s="153"/>
      <c r="C293" s="154" t="str">
        <f t="shared" si="12"/>
        <v/>
      </c>
      <c r="D293" s="152"/>
      <c r="E293" s="153"/>
      <c r="F293" s="154" t="str">
        <f t="shared" si="13"/>
        <v/>
      </c>
      <c r="G293" s="152"/>
      <c r="H293" s="153"/>
      <c r="I293" s="154" t="str">
        <f t="shared" si="14"/>
        <v/>
      </c>
    </row>
    <row r="294" spans="1:9">
      <c r="A294" s="152"/>
      <c r="B294" s="153"/>
      <c r="C294" s="154" t="str">
        <f t="shared" si="12"/>
        <v/>
      </c>
      <c r="D294" s="152"/>
      <c r="E294" s="153"/>
      <c r="F294" s="154" t="str">
        <f t="shared" si="13"/>
        <v/>
      </c>
      <c r="G294" s="152"/>
      <c r="H294" s="153"/>
      <c r="I294" s="154" t="str">
        <f t="shared" si="14"/>
        <v/>
      </c>
    </row>
    <row r="295" spans="1:9">
      <c r="A295" s="152"/>
      <c r="B295" s="153"/>
      <c r="C295" s="154" t="str">
        <f t="shared" si="12"/>
        <v/>
      </c>
      <c r="D295" s="152"/>
      <c r="E295" s="153"/>
      <c r="F295" s="154" t="str">
        <f t="shared" si="13"/>
        <v/>
      </c>
      <c r="G295" s="152"/>
      <c r="H295" s="153"/>
      <c r="I295" s="154" t="str">
        <f t="shared" si="14"/>
        <v/>
      </c>
    </row>
    <row r="296" spans="1:9">
      <c r="A296" s="152"/>
      <c r="B296" s="153"/>
      <c r="C296" s="154" t="str">
        <f t="shared" si="12"/>
        <v/>
      </c>
      <c r="D296" s="152"/>
      <c r="E296" s="153"/>
      <c r="F296" s="154" t="str">
        <f t="shared" si="13"/>
        <v/>
      </c>
      <c r="G296" s="152"/>
      <c r="H296" s="153"/>
      <c r="I296" s="154" t="str">
        <f t="shared" si="14"/>
        <v/>
      </c>
    </row>
    <row r="297" spans="1:9">
      <c r="A297" s="152"/>
      <c r="B297" s="153"/>
      <c r="C297" s="154" t="str">
        <f t="shared" si="12"/>
        <v/>
      </c>
      <c r="D297" s="152"/>
      <c r="E297" s="153"/>
      <c r="F297" s="154" t="str">
        <f t="shared" si="13"/>
        <v/>
      </c>
      <c r="G297" s="152"/>
      <c r="H297" s="153"/>
      <c r="I297" s="154" t="str">
        <f t="shared" si="14"/>
        <v/>
      </c>
    </row>
    <row r="298" spans="1:9">
      <c r="A298" s="152"/>
      <c r="B298" s="153"/>
      <c r="C298" s="154" t="str">
        <f t="shared" si="12"/>
        <v/>
      </c>
      <c r="D298" s="152"/>
      <c r="E298" s="153"/>
      <c r="F298" s="154" t="str">
        <f t="shared" si="13"/>
        <v/>
      </c>
      <c r="G298" s="152"/>
      <c r="H298" s="153"/>
      <c r="I298" s="154" t="str">
        <f t="shared" si="14"/>
        <v/>
      </c>
    </row>
    <row r="299" spans="1:9">
      <c r="A299" s="152"/>
      <c r="B299" s="153"/>
      <c r="C299" s="154" t="str">
        <f t="shared" si="12"/>
        <v/>
      </c>
      <c r="D299" s="152"/>
      <c r="E299" s="153"/>
      <c r="F299" s="154" t="str">
        <f t="shared" si="13"/>
        <v/>
      </c>
      <c r="G299" s="152"/>
      <c r="H299" s="153"/>
      <c r="I299" s="154" t="str">
        <f t="shared" si="14"/>
        <v/>
      </c>
    </row>
    <row r="300" spans="1:9">
      <c r="A300" s="152"/>
      <c r="B300" s="153"/>
      <c r="C300" s="154" t="str">
        <f t="shared" si="12"/>
        <v/>
      </c>
      <c r="D300" s="152"/>
      <c r="E300" s="153"/>
      <c r="F300" s="154" t="str">
        <f t="shared" si="13"/>
        <v/>
      </c>
      <c r="G300" s="152"/>
      <c r="H300" s="153"/>
      <c r="I300" s="154" t="str">
        <f t="shared" si="14"/>
        <v/>
      </c>
    </row>
    <row r="301" spans="1:9">
      <c r="A301" s="152"/>
      <c r="B301" s="153"/>
      <c r="C301" s="154" t="str">
        <f t="shared" si="12"/>
        <v/>
      </c>
      <c r="D301" s="152"/>
      <c r="E301" s="153"/>
      <c r="F301" s="154" t="str">
        <f t="shared" si="13"/>
        <v/>
      </c>
      <c r="G301" s="152"/>
      <c r="H301" s="153"/>
      <c r="I301" s="154" t="str">
        <f t="shared" si="14"/>
        <v/>
      </c>
    </row>
    <row r="302" spans="1:9">
      <c r="A302" s="152"/>
      <c r="B302" s="156"/>
      <c r="C302" s="154" t="str">
        <f t="shared" si="12"/>
        <v/>
      </c>
      <c r="D302" s="152"/>
      <c r="E302" s="156"/>
      <c r="F302" s="154" t="str">
        <f t="shared" si="13"/>
        <v/>
      </c>
      <c r="G302" s="152"/>
      <c r="H302" s="156"/>
      <c r="I302" s="154" t="str">
        <f t="shared" si="14"/>
        <v/>
      </c>
    </row>
    <row r="303" spans="1:9">
      <c r="A303" s="152"/>
      <c r="B303" s="156"/>
      <c r="C303" s="154" t="str">
        <f t="shared" si="12"/>
        <v/>
      </c>
      <c r="D303" s="152"/>
      <c r="E303" s="156"/>
      <c r="F303" s="154" t="str">
        <f t="shared" si="13"/>
        <v/>
      </c>
      <c r="G303" s="152"/>
      <c r="H303" s="156"/>
      <c r="I303" s="154" t="str">
        <f t="shared" si="14"/>
        <v/>
      </c>
    </row>
    <row r="304" spans="1:9">
      <c r="A304" s="152"/>
      <c r="B304" s="156"/>
      <c r="C304" s="154" t="str">
        <f t="shared" si="12"/>
        <v/>
      </c>
      <c r="D304" s="152"/>
      <c r="E304" s="156"/>
      <c r="F304" s="154" t="str">
        <f t="shared" si="13"/>
        <v/>
      </c>
      <c r="G304" s="152"/>
      <c r="H304" s="156"/>
      <c r="I304" s="154" t="str">
        <f t="shared" si="14"/>
        <v/>
      </c>
    </row>
    <row r="305" spans="1:7">
      <c r="A305" s="154" t="s">
        <v>1027</v>
      </c>
      <c r="D305" s="154" t="s">
        <v>1027</v>
      </c>
      <c r="G305" s="154" t="s">
        <v>1027</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8"/>
  <sheetViews>
    <sheetView zoomScale="85" zoomScaleNormal="85" workbookViewId="0">
      <selection activeCell="F11" sqref="F11"/>
    </sheetView>
  </sheetViews>
  <sheetFormatPr defaultColWidth="8.69921875" defaultRowHeight="13.8"/>
  <cols>
    <col min="1" max="1" width="8.69921875" style="141"/>
    <col min="2" max="2" width="8.69921875" style="140"/>
    <col min="3" max="4" width="8.69921875" style="139"/>
    <col min="5" max="5" width="8.69921875" style="140"/>
    <col min="6" max="16384" width="8.69921875" style="137"/>
  </cols>
  <sheetData>
    <row r="1" spans="1:8">
      <c r="A1" s="142" t="s">
        <v>323</v>
      </c>
      <c r="B1" s="142" t="s">
        <v>324</v>
      </c>
      <c r="C1" s="138" t="s">
        <v>325</v>
      </c>
      <c r="D1" s="138" t="s">
        <v>326</v>
      </c>
      <c r="E1" s="142" t="s">
        <v>327</v>
      </c>
      <c r="F1" s="143" t="s">
        <v>328</v>
      </c>
      <c r="G1" s="143" t="s">
        <v>329</v>
      </c>
      <c r="H1" s="143" t="s">
        <v>330</v>
      </c>
    </row>
    <row r="2" spans="1:8">
      <c r="A2" s="141" t="s">
        <v>1069</v>
      </c>
      <c r="B2" s="140" t="s">
        <v>854</v>
      </c>
      <c r="C2" s="139" t="s">
        <v>1019</v>
      </c>
      <c r="D2" s="139">
        <v>42978</v>
      </c>
      <c r="E2" s="144">
        <v>42985</v>
      </c>
      <c r="F2" s="139">
        <v>42975</v>
      </c>
      <c r="G2" s="139">
        <v>42980</v>
      </c>
      <c r="H2" s="137">
        <v>2</v>
      </c>
    </row>
    <row r="3" spans="1:8">
      <c r="A3" s="141" t="s">
        <v>1069</v>
      </c>
      <c r="B3" s="140" t="s">
        <v>854</v>
      </c>
      <c r="C3" s="139" t="s">
        <v>1019</v>
      </c>
      <c r="D3" s="139">
        <v>42978</v>
      </c>
      <c r="E3" s="144">
        <v>42985</v>
      </c>
      <c r="F3" s="139">
        <v>42981</v>
      </c>
      <c r="G3" s="139">
        <v>42987</v>
      </c>
      <c r="H3" s="137">
        <v>4</v>
      </c>
    </row>
    <row r="4" spans="1:8">
      <c r="A4" s="141" t="s">
        <v>984</v>
      </c>
      <c r="B4" s="140" t="s">
        <v>948</v>
      </c>
      <c r="C4" s="139" t="s">
        <v>1019</v>
      </c>
      <c r="D4" s="139">
        <v>43080</v>
      </c>
      <c r="E4" s="144">
        <v>43080</v>
      </c>
      <c r="F4" s="139">
        <v>43079</v>
      </c>
      <c r="G4" s="139">
        <v>43085</v>
      </c>
      <c r="H4" s="137">
        <v>1</v>
      </c>
    </row>
    <row r="5" spans="1:8">
      <c r="A5" s="141" t="s">
        <v>985</v>
      </c>
      <c r="B5" s="140" t="s">
        <v>950</v>
      </c>
      <c r="C5" s="139" t="s">
        <v>1019</v>
      </c>
      <c r="D5" s="139">
        <v>42975</v>
      </c>
      <c r="E5" s="144">
        <v>42978</v>
      </c>
      <c r="F5" s="139">
        <v>42975</v>
      </c>
      <c r="G5" s="139">
        <v>42980</v>
      </c>
      <c r="H5" s="137">
        <v>4</v>
      </c>
    </row>
    <row r="6" spans="1:8">
      <c r="A6" s="141" t="s">
        <v>986</v>
      </c>
      <c r="B6" s="140" t="s">
        <v>952</v>
      </c>
      <c r="C6" s="139" t="s">
        <v>1019</v>
      </c>
      <c r="D6" s="139">
        <v>42975</v>
      </c>
      <c r="E6" s="144">
        <v>42982</v>
      </c>
      <c r="F6" s="139">
        <v>42975</v>
      </c>
      <c r="G6" s="139">
        <v>42980</v>
      </c>
      <c r="H6" s="137">
        <v>5</v>
      </c>
    </row>
    <row r="7" spans="1:8">
      <c r="A7" s="141" t="s">
        <v>986</v>
      </c>
      <c r="B7" s="140" t="s">
        <v>952</v>
      </c>
      <c r="C7" s="139" t="s">
        <v>1019</v>
      </c>
      <c r="D7" s="139">
        <v>42975</v>
      </c>
      <c r="E7" s="144">
        <v>42982</v>
      </c>
      <c r="F7" s="139">
        <v>42981</v>
      </c>
      <c r="G7" s="139">
        <v>42987</v>
      </c>
      <c r="H7" s="137">
        <v>1</v>
      </c>
    </row>
    <row r="8" spans="1:8">
      <c r="A8" s="141" t="s">
        <v>1060</v>
      </c>
      <c r="B8" s="140" t="s">
        <v>1052</v>
      </c>
      <c r="C8" s="139" t="s">
        <v>1019</v>
      </c>
      <c r="D8" s="139">
        <v>42991</v>
      </c>
      <c r="E8" s="144">
        <v>42991</v>
      </c>
      <c r="F8" s="139">
        <v>42988</v>
      </c>
      <c r="G8" s="139">
        <v>42994</v>
      </c>
      <c r="H8" s="137">
        <v>1</v>
      </c>
    </row>
    <row r="9" spans="1:8">
      <c r="A9" s="141" t="s">
        <v>1061</v>
      </c>
      <c r="B9" s="140" t="s">
        <v>1053</v>
      </c>
      <c r="C9" s="139" t="s">
        <v>1019</v>
      </c>
      <c r="D9" s="139">
        <v>42991</v>
      </c>
      <c r="E9" s="144">
        <v>42996</v>
      </c>
      <c r="F9" s="139">
        <v>42988</v>
      </c>
      <c r="G9" s="139">
        <v>42994</v>
      </c>
      <c r="H9" s="137">
        <v>3</v>
      </c>
    </row>
    <row r="10" spans="1:8">
      <c r="A10" s="141" t="s">
        <v>1061</v>
      </c>
      <c r="B10" s="140" t="s">
        <v>1053</v>
      </c>
      <c r="C10" s="139" t="s">
        <v>1019</v>
      </c>
      <c r="D10" s="139">
        <v>42991</v>
      </c>
      <c r="E10" s="144">
        <v>42996</v>
      </c>
      <c r="F10" s="139">
        <v>42995</v>
      </c>
      <c r="G10" s="139">
        <v>43001</v>
      </c>
      <c r="H10" s="137">
        <v>1</v>
      </c>
    </row>
    <row r="11" spans="1:8">
      <c r="A11" s="141" t="s">
        <v>1003</v>
      </c>
      <c r="B11" s="140" t="s">
        <v>1055</v>
      </c>
      <c r="C11" s="139" t="s">
        <v>1019</v>
      </c>
      <c r="D11" s="139">
        <v>42997</v>
      </c>
      <c r="E11" s="144">
        <v>43038</v>
      </c>
      <c r="F11" s="139">
        <v>42995</v>
      </c>
      <c r="G11" s="139">
        <v>43001</v>
      </c>
      <c r="H11" s="137">
        <v>16</v>
      </c>
    </row>
    <row r="12" spans="1:8">
      <c r="A12" s="141" t="s">
        <v>1003</v>
      </c>
      <c r="B12" s="140" t="s">
        <v>1055</v>
      </c>
      <c r="C12" s="139" t="s">
        <v>1019</v>
      </c>
      <c r="D12" s="139">
        <v>42997</v>
      </c>
      <c r="E12" s="144">
        <v>43038</v>
      </c>
      <c r="F12" s="139">
        <v>43002</v>
      </c>
      <c r="G12" s="139">
        <v>43008</v>
      </c>
      <c r="H12" s="137">
        <v>20</v>
      </c>
    </row>
    <row r="13" spans="1:8">
      <c r="A13" s="141" t="s">
        <v>1003</v>
      </c>
      <c r="B13" s="140" t="s">
        <v>1055</v>
      </c>
      <c r="C13" s="139" t="s">
        <v>1019</v>
      </c>
      <c r="D13" s="139">
        <v>42997</v>
      </c>
      <c r="E13" s="144">
        <v>43038</v>
      </c>
      <c r="F13" s="139">
        <v>43009</v>
      </c>
      <c r="G13" s="139">
        <v>43015</v>
      </c>
      <c r="H13" s="137">
        <v>4</v>
      </c>
    </row>
    <row r="14" spans="1:8">
      <c r="A14" s="141" t="s">
        <v>1003</v>
      </c>
      <c r="B14" s="140" t="s">
        <v>1055</v>
      </c>
      <c r="C14" s="139" t="s">
        <v>1019</v>
      </c>
      <c r="D14" s="139">
        <v>42997</v>
      </c>
      <c r="E14" s="144">
        <v>43038</v>
      </c>
      <c r="F14" s="139">
        <v>43016</v>
      </c>
      <c r="G14" s="139">
        <v>43022</v>
      </c>
      <c r="H14" s="137">
        <v>16</v>
      </c>
    </row>
    <row r="15" spans="1:8">
      <c r="A15" s="141" t="s">
        <v>1003</v>
      </c>
      <c r="B15" s="140" t="s">
        <v>1055</v>
      </c>
      <c r="C15" s="139" t="s">
        <v>1019</v>
      </c>
      <c r="D15" s="139">
        <v>42997</v>
      </c>
      <c r="E15" s="144">
        <v>43038</v>
      </c>
      <c r="F15" s="139">
        <v>43023</v>
      </c>
      <c r="G15" s="139">
        <v>43029</v>
      </c>
      <c r="H15" s="137">
        <v>20</v>
      </c>
    </row>
    <row r="16" spans="1:8">
      <c r="A16" s="141" t="s">
        <v>1003</v>
      </c>
      <c r="B16" s="140" t="s">
        <v>1055</v>
      </c>
      <c r="C16" s="139" t="s">
        <v>1019</v>
      </c>
      <c r="D16" s="139">
        <v>42997</v>
      </c>
      <c r="E16" s="144">
        <v>43038</v>
      </c>
      <c r="F16" s="139">
        <v>43030</v>
      </c>
      <c r="G16" s="139">
        <v>43036</v>
      </c>
      <c r="H16" s="137">
        <v>20</v>
      </c>
    </row>
    <row r="17" spans="1:8">
      <c r="A17" s="141" t="s">
        <v>1003</v>
      </c>
      <c r="B17" s="140" t="s">
        <v>1055</v>
      </c>
      <c r="C17" s="139" t="s">
        <v>1019</v>
      </c>
      <c r="D17" s="139">
        <v>42997</v>
      </c>
      <c r="E17" s="144">
        <v>43038</v>
      </c>
      <c r="F17" s="139">
        <v>43037</v>
      </c>
      <c r="G17" s="139">
        <v>43043</v>
      </c>
      <c r="H17" s="137">
        <v>4</v>
      </c>
    </row>
    <row r="18" spans="1:8">
      <c r="A18" s="141" t="s">
        <v>1063</v>
      </c>
      <c r="B18" s="140" t="s">
        <v>1057</v>
      </c>
      <c r="C18" s="139" t="s">
        <v>1019</v>
      </c>
      <c r="D18" s="139">
        <v>43038</v>
      </c>
      <c r="E18" s="144">
        <v>43052</v>
      </c>
      <c r="F18" s="139">
        <v>43037</v>
      </c>
      <c r="G18" s="139">
        <v>43043</v>
      </c>
      <c r="H18" s="137">
        <v>10</v>
      </c>
    </row>
    <row r="19" spans="1:8">
      <c r="A19" s="141" t="s">
        <v>1063</v>
      </c>
      <c r="B19" s="140" t="s">
        <v>1057</v>
      </c>
      <c r="C19" s="139" t="s">
        <v>1019</v>
      </c>
      <c r="D19" s="139">
        <v>43038</v>
      </c>
      <c r="E19" s="144">
        <v>43052</v>
      </c>
      <c r="F19" s="139">
        <v>43044</v>
      </c>
      <c r="G19" s="139">
        <v>43050</v>
      </c>
      <c r="H19" s="137">
        <v>10</v>
      </c>
    </row>
    <row r="20" spans="1:8">
      <c r="A20" s="141" t="s">
        <v>1063</v>
      </c>
      <c r="B20" s="140" t="s">
        <v>1057</v>
      </c>
      <c r="C20" s="139" t="s">
        <v>1019</v>
      </c>
      <c r="D20" s="139">
        <v>43038</v>
      </c>
      <c r="E20" s="144">
        <v>43052</v>
      </c>
      <c r="F20" s="139">
        <v>43051</v>
      </c>
      <c r="G20" s="139">
        <v>43057</v>
      </c>
      <c r="H20" s="137">
        <v>2</v>
      </c>
    </row>
    <row r="21" spans="1:8">
      <c r="A21" s="141" t="s">
        <v>1064</v>
      </c>
      <c r="B21" s="140" t="s">
        <v>1058</v>
      </c>
      <c r="C21" s="139" t="s">
        <v>1019</v>
      </c>
      <c r="D21" s="139">
        <v>43052</v>
      </c>
      <c r="E21" s="144">
        <v>43066</v>
      </c>
      <c r="F21" s="139">
        <v>43051</v>
      </c>
      <c r="G21" s="139">
        <v>43057</v>
      </c>
      <c r="H21" s="137">
        <v>10</v>
      </c>
    </row>
    <row r="22" spans="1:8">
      <c r="A22" s="141" t="s">
        <v>1064</v>
      </c>
      <c r="B22" s="140" t="s">
        <v>1058</v>
      </c>
      <c r="C22" s="139" t="s">
        <v>1019</v>
      </c>
      <c r="D22" s="139">
        <v>43052</v>
      </c>
      <c r="E22" s="144">
        <v>43066</v>
      </c>
      <c r="F22" s="139">
        <v>43058</v>
      </c>
      <c r="G22" s="139">
        <v>43064</v>
      </c>
      <c r="H22" s="137">
        <v>10</v>
      </c>
    </row>
    <row r="23" spans="1:8">
      <c r="A23" s="141" t="s">
        <v>1064</v>
      </c>
      <c r="B23" s="140" t="s">
        <v>1058</v>
      </c>
      <c r="C23" s="139" t="s">
        <v>1019</v>
      </c>
      <c r="D23" s="139">
        <v>43052</v>
      </c>
      <c r="E23" s="144">
        <v>43066</v>
      </c>
      <c r="F23" s="139">
        <v>43065</v>
      </c>
      <c r="G23" s="139">
        <v>43071</v>
      </c>
      <c r="H23" s="137">
        <v>2</v>
      </c>
    </row>
    <row r="24" spans="1:8">
      <c r="A24" s="141" t="s">
        <v>988</v>
      </c>
      <c r="B24" s="140" t="s">
        <v>956</v>
      </c>
      <c r="C24" s="139" t="s">
        <v>1019</v>
      </c>
      <c r="D24" s="139">
        <v>43067</v>
      </c>
      <c r="E24" s="144">
        <v>43079</v>
      </c>
      <c r="F24" s="139">
        <v>43065</v>
      </c>
      <c r="G24" s="139">
        <v>43071</v>
      </c>
      <c r="H24" s="137">
        <v>4</v>
      </c>
    </row>
    <row r="25" spans="1:8">
      <c r="A25" s="141" t="s">
        <v>988</v>
      </c>
      <c r="B25" s="140" t="s">
        <v>956</v>
      </c>
      <c r="C25" s="139" t="s">
        <v>1019</v>
      </c>
      <c r="D25" s="139">
        <v>43067</v>
      </c>
      <c r="E25" s="144">
        <v>43079</v>
      </c>
      <c r="F25" s="139">
        <v>43072</v>
      </c>
      <c r="G25" s="139">
        <v>43078</v>
      </c>
      <c r="H25" s="137">
        <v>5</v>
      </c>
    </row>
    <row r="26" spans="1:8">
      <c r="A26" s="141" t="s">
        <v>988</v>
      </c>
      <c r="B26" s="140" t="s">
        <v>956</v>
      </c>
      <c r="C26" s="139" t="s">
        <v>1019</v>
      </c>
      <c r="D26" s="139">
        <v>43067</v>
      </c>
      <c r="E26" s="144">
        <v>43079</v>
      </c>
      <c r="F26" s="139">
        <v>43079</v>
      </c>
      <c r="G26" s="139">
        <v>43085</v>
      </c>
      <c r="H26" s="137">
        <v>0</v>
      </c>
    </row>
    <row r="27" spans="1:8">
      <c r="A27" s="141">
        <v>3</v>
      </c>
      <c r="B27" s="140" t="s">
        <v>1059</v>
      </c>
      <c r="C27" s="139" t="s">
        <v>1019</v>
      </c>
      <c r="D27" s="139">
        <v>43080</v>
      </c>
      <c r="E27" s="144">
        <v>43080</v>
      </c>
      <c r="F27" s="139">
        <v>43079</v>
      </c>
      <c r="G27" s="139">
        <v>43085</v>
      </c>
      <c r="H27" s="137">
        <v>4</v>
      </c>
    </row>
    <row r="28" spans="1:8">
      <c r="G28" s="137" t="s">
        <v>0</v>
      </c>
      <c r="H28" s="137">
        <f>SUM(H2:H27)</f>
        <v>179</v>
      </c>
    </row>
  </sheetData>
  <sortState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33"/>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67" t="s">
        <v>820</v>
      </c>
      <c r="C8" s="4" t="s">
        <v>1079</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1031</v>
      </c>
      <c r="D11" s="2" t="s">
        <v>80</v>
      </c>
      <c r="E11" s="37">
        <v>1</v>
      </c>
      <c r="F11" s="10" t="s">
        <v>81</v>
      </c>
      <c r="G11" s="38">
        <v>42975</v>
      </c>
      <c r="H11" s="10" t="s">
        <v>82</v>
      </c>
      <c r="I11" s="38">
        <v>43095</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992</v>
      </c>
      <c r="AC11" s="5" t="s">
        <v>1050</v>
      </c>
      <c r="AD11" s="5" t="s">
        <v>186</v>
      </c>
      <c r="AE11" s="5">
        <v>82</v>
      </c>
      <c r="AF11" s="5" t="s">
        <v>322</v>
      </c>
      <c r="AG11" s="5" t="s">
        <v>1080</v>
      </c>
      <c r="AH11" s="5" t="s">
        <v>334</v>
      </c>
      <c r="AI11" s="5">
        <v>1</v>
      </c>
      <c r="AJ11" s="5" t="s">
        <v>853</v>
      </c>
      <c r="AK11" s="5">
        <v>1</v>
      </c>
    </row>
    <row r="12" spans="1:64">
      <c r="A12" s="12" t="s">
        <v>89</v>
      </c>
      <c r="B12" s="9" t="s">
        <v>105</v>
      </c>
      <c r="C12" s="2">
        <v>0</v>
      </c>
      <c r="D12" s="2" t="s">
        <v>106</v>
      </c>
      <c r="E12" s="9" t="s">
        <v>1070</v>
      </c>
      <c r="F12" s="10"/>
    </row>
    <row r="13" spans="1:64">
      <c r="A13" s="12" t="s">
        <v>90</v>
      </c>
      <c r="B13" s="9" t="s">
        <v>57</v>
      </c>
      <c r="C13" s="2">
        <v>1</v>
      </c>
      <c r="D13" s="9" t="s">
        <v>58</v>
      </c>
      <c r="E13" s="2" t="s">
        <v>1071</v>
      </c>
      <c r="F13" s="2" t="s">
        <v>59</v>
      </c>
      <c r="G13" s="10" t="s">
        <v>1072</v>
      </c>
      <c r="H13" s="10" t="s">
        <v>56</v>
      </c>
      <c r="I13" s="5" t="s">
        <v>822</v>
      </c>
    </row>
    <row r="14" spans="1:64">
      <c r="A14" s="12" t="s">
        <v>91</v>
      </c>
      <c r="B14" s="37" t="s">
        <v>60</v>
      </c>
      <c r="C14" s="37" t="s">
        <v>1032</v>
      </c>
      <c r="D14" s="37" t="s">
        <v>104</v>
      </c>
      <c r="E14" s="37" t="s">
        <v>1033</v>
      </c>
      <c r="F14" s="37" t="s">
        <v>61</v>
      </c>
      <c r="G14" s="37" t="s">
        <v>1034</v>
      </c>
      <c r="H14" s="37" t="s">
        <v>62</v>
      </c>
      <c r="I14" s="37" t="b">
        <v>0</v>
      </c>
      <c r="J14" s="37" t="s">
        <v>67</v>
      </c>
      <c r="K14" s="37" t="s">
        <v>1035</v>
      </c>
      <c r="L14" s="37" t="s">
        <v>68</v>
      </c>
      <c r="M14" s="37" t="s">
        <v>1036</v>
      </c>
      <c r="N14" s="37" t="s">
        <v>69</v>
      </c>
      <c r="O14" s="37" t="s">
        <v>1034</v>
      </c>
      <c r="P14" s="37" t="s">
        <v>70</v>
      </c>
      <c r="Q14" s="37" t="b">
        <v>0</v>
      </c>
      <c r="R14" s="37" t="s">
        <v>71</v>
      </c>
      <c r="S14" s="37" t="s">
        <v>1037</v>
      </c>
      <c r="T14" s="37" t="s">
        <v>72</v>
      </c>
      <c r="U14" s="37" t="s">
        <v>1038</v>
      </c>
      <c r="V14" s="37" t="s">
        <v>73</v>
      </c>
      <c r="W14" s="37" t="s">
        <v>1039</v>
      </c>
      <c r="X14" s="37" t="s">
        <v>74</v>
      </c>
      <c r="Y14" s="37" t="b">
        <v>1</v>
      </c>
      <c r="Z14" s="37" t="s">
        <v>63</v>
      </c>
      <c r="AA14" s="37" t="s">
        <v>1040</v>
      </c>
      <c r="AB14" s="37" t="s">
        <v>66</v>
      </c>
      <c r="AC14" s="37" t="s">
        <v>1041</v>
      </c>
      <c r="AD14" s="37" t="s">
        <v>64</v>
      </c>
      <c r="AE14" s="37" t="s">
        <v>1042</v>
      </c>
      <c r="AF14" s="37" t="s">
        <v>65</v>
      </c>
      <c r="AG14" s="37" t="b">
        <v>1</v>
      </c>
      <c r="AH14" s="37" t="s">
        <v>75</v>
      </c>
      <c r="AI14" s="37" t="s">
        <v>1043</v>
      </c>
      <c r="AJ14" s="37" t="s">
        <v>76</v>
      </c>
      <c r="AK14" s="37" t="s">
        <v>1044</v>
      </c>
      <c r="AL14" s="37" t="s">
        <v>77</v>
      </c>
      <c r="AM14" s="37" t="s">
        <v>1045</v>
      </c>
      <c r="AN14" s="37" t="s">
        <v>78</v>
      </c>
      <c r="AO14" s="37" t="b">
        <v>0</v>
      </c>
      <c r="AP14" s="37" t="s">
        <v>92</v>
      </c>
      <c r="AQ14" s="37" t="s">
        <v>1046</v>
      </c>
      <c r="AR14" s="37" t="s">
        <v>93</v>
      </c>
      <c r="AS14" s="37" t="s">
        <v>1047</v>
      </c>
      <c r="AT14" s="37" t="s">
        <v>94</v>
      </c>
      <c r="AU14" s="37" t="s">
        <v>1048</v>
      </c>
      <c r="AV14" s="37" t="s">
        <v>95</v>
      </c>
      <c r="AW14" s="37" t="b">
        <v>1</v>
      </c>
      <c r="AX14" s="5" t="s">
        <v>96</v>
      </c>
      <c r="AZ14" s="5" t="s">
        <v>97</v>
      </c>
      <c r="BB14" s="5" t="s">
        <v>98</v>
      </c>
      <c r="BD14" s="5" t="s">
        <v>99</v>
      </c>
      <c r="BF14" s="5" t="s">
        <v>100</v>
      </c>
      <c r="BH14" s="5" t="s">
        <v>101</v>
      </c>
      <c r="BJ14" s="5" t="s">
        <v>102</v>
      </c>
      <c r="BL14" s="5" t="s">
        <v>103</v>
      </c>
    </row>
    <row r="15" spans="1:64">
      <c r="A15" s="12"/>
      <c r="B15" s="9"/>
      <c r="E15" s="36"/>
      <c r="F15" s="10"/>
    </row>
    <row r="16" spans="1:64" ht="18" thickBot="1">
      <c r="A16" s="12"/>
      <c r="B16" s="9"/>
      <c r="E16" s="36"/>
      <c r="F16" s="10"/>
    </row>
    <row r="17" spans="1:16">
      <c r="A17" s="17" t="s">
        <v>48</v>
      </c>
      <c r="B17" s="18" t="s">
        <v>52</v>
      </c>
      <c r="C17" s="19"/>
      <c r="D17" s="19"/>
      <c r="E17" s="20"/>
      <c r="F17" s="20"/>
      <c r="G17" s="21"/>
      <c r="H17" s="21"/>
      <c r="I17" s="21"/>
      <c r="J17" s="21"/>
      <c r="K17" s="21"/>
      <c r="L17" s="21"/>
      <c r="M17" s="22" t="s">
        <v>39</v>
      </c>
      <c r="N17" s="22"/>
      <c r="O17" s="22"/>
      <c r="P17" s="23"/>
    </row>
    <row r="18" spans="1:16">
      <c r="A18" s="24" t="s">
        <v>49</v>
      </c>
      <c r="B18" s="25" t="s">
        <v>52</v>
      </c>
      <c r="C18" s="11"/>
      <c r="D18" s="11"/>
      <c r="E18" s="26"/>
      <c r="F18" s="26"/>
      <c r="G18" s="13"/>
      <c r="H18" s="13"/>
      <c r="I18" s="13"/>
      <c r="J18" s="13"/>
      <c r="K18" s="13"/>
      <c r="L18" s="13"/>
      <c r="M18" s="27" t="s">
        <v>39</v>
      </c>
      <c r="N18" s="27"/>
      <c r="O18" s="27"/>
      <c r="P18" s="28"/>
    </row>
    <row r="19" spans="1:16">
      <c r="A19" s="24" t="s">
        <v>50</v>
      </c>
      <c r="B19" s="25" t="s">
        <v>53</v>
      </c>
      <c r="C19" s="11"/>
      <c r="D19" s="11"/>
      <c r="E19" s="26"/>
      <c r="F19" s="26"/>
      <c r="G19" s="13"/>
      <c r="H19" s="13"/>
      <c r="I19" s="13"/>
      <c r="J19" s="13"/>
      <c r="K19" s="13"/>
      <c r="L19" s="13"/>
      <c r="M19" s="27" t="s">
        <v>39</v>
      </c>
      <c r="N19" s="27"/>
      <c r="O19" s="27"/>
      <c r="P19" s="28"/>
    </row>
    <row r="20" spans="1:16">
      <c r="A20" s="24" t="s">
        <v>51</v>
      </c>
      <c r="B20" s="25" t="s">
        <v>54</v>
      </c>
      <c r="C20" s="11"/>
      <c r="D20" s="11"/>
      <c r="E20" s="26"/>
      <c r="F20" s="26"/>
      <c r="G20" s="13"/>
      <c r="H20" s="13"/>
      <c r="I20" s="13"/>
      <c r="J20" s="13"/>
      <c r="K20" s="13"/>
      <c r="L20" s="13"/>
      <c r="M20" s="27" t="s">
        <v>39</v>
      </c>
      <c r="N20" s="27"/>
      <c r="O20" s="27"/>
      <c r="P20" s="28"/>
    </row>
    <row r="21" spans="1:16">
      <c r="A21" s="24" t="s">
        <v>8</v>
      </c>
      <c r="B21" s="12" t="s">
        <v>12</v>
      </c>
      <c r="C21" s="12" t="s">
        <v>1</v>
      </c>
      <c r="D21" s="12"/>
      <c r="E21" s="12"/>
      <c r="F21" s="12"/>
      <c r="G21" s="14"/>
      <c r="H21" s="14"/>
      <c r="I21" s="14"/>
      <c r="J21" s="14"/>
      <c r="K21" s="14"/>
      <c r="L21" s="14"/>
      <c r="M21" s="27" t="s">
        <v>39</v>
      </c>
      <c r="N21" s="27"/>
      <c r="O21" s="27"/>
      <c r="P21" s="28"/>
    </row>
    <row r="22" spans="1:16">
      <c r="A22" s="24" t="s">
        <v>8</v>
      </c>
      <c r="B22" s="12" t="s">
        <v>9</v>
      </c>
      <c r="C22" s="12" t="s">
        <v>3</v>
      </c>
      <c r="D22" s="12"/>
      <c r="E22" s="12"/>
      <c r="F22" s="12"/>
      <c r="G22" s="14"/>
      <c r="H22" s="14"/>
      <c r="I22" s="14"/>
      <c r="J22" s="14"/>
      <c r="K22" s="14"/>
      <c r="L22" s="14"/>
      <c r="M22" s="27" t="s">
        <v>39</v>
      </c>
      <c r="N22" s="27"/>
      <c r="O22" s="27"/>
      <c r="P22" s="28"/>
    </row>
    <row r="23" spans="1:16">
      <c r="A23" s="24" t="s">
        <v>8</v>
      </c>
      <c r="B23" s="12" t="s">
        <v>10</v>
      </c>
      <c r="C23" s="12" t="s">
        <v>3</v>
      </c>
      <c r="D23" s="12"/>
      <c r="E23" s="12"/>
      <c r="F23" s="12"/>
      <c r="G23" s="14"/>
      <c r="H23" s="14"/>
      <c r="I23" s="14"/>
      <c r="J23" s="14"/>
      <c r="K23" s="14"/>
      <c r="L23" s="14"/>
      <c r="M23" s="27" t="s">
        <v>39</v>
      </c>
      <c r="N23" s="27"/>
      <c r="O23" s="27"/>
      <c r="P23" s="28"/>
    </row>
    <row r="24" spans="1:16">
      <c r="A24" s="24" t="s">
        <v>29</v>
      </c>
      <c r="B24" s="15" t="s">
        <v>23</v>
      </c>
      <c r="C24" s="12" t="s">
        <v>24</v>
      </c>
      <c r="D24" s="12" t="s">
        <v>36</v>
      </c>
      <c r="E24" s="12" t="s">
        <v>13</v>
      </c>
      <c r="F24" s="16"/>
      <c r="G24" s="14" t="s">
        <v>38</v>
      </c>
      <c r="H24" s="14"/>
      <c r="I24" s="14"/>
      <c r="J24" s="14"/>
      <c r="K24" s="14"/>
      <c r="L24" s="14"/>
      <c r="M24" s="27" t="s">
        <v>39</v>
      </c>
      <c r="N24" s="27"/>
      <c r="O24" s="27"/>
      <c r="P24" s="28"/>
    </row>
    <row r="25" spans="1:16">
      <c r="A25" s="24" t="s">
        <v>29</v>
      </c>
      <c r="B25" s="15" t="s">
        <v>25</v>
      </c>
      <c r="C25" s="12" t="s">
        <v>26</v>
      </c>
      <c r="D25" s="12" t="s">
        <v>36</v>
      </c>
      <c r="E25" s="12" t="s">
        <v>13</v>
      </c>
      <c r="F25" s="16"/>
      <c r="G25" s="14" t="s">
        <v>40</v>
      </c>
      <c r="H25" s="14"/>
      <c r="I25" s="14"/>
      <c r="J25" s="14"/>
      <c r="K25" s="14"/>
      <c r="L25" s="14"/>
      <c r="M25" s="27" t="s">
        <v>39</v>
      </c>
      <c r="N25" s="27"/>
      <c r="O25" s="27"/>
      <c r="P25" s="28"/>
    </row>
    <row r="26" spans="1:16">
      <c r="A26" s="24" t="s">
        <v>29</v>
      </c>
      <c r="B26" s="15" t="s">
        <v>27</v>
      </c>
      <c r="C26" s="12" t="s">
        <v>28</v>
      </c>
      <c r="D26" s="12" t="s">
        <v>36</v>
      </c>
      <c r="E26" s="12" t="s">
        <v>13</v>
      </c>
      <c r="F26" s="16"/>
      <c r="G26" s="14" t="s">
        <v>41</v>
      </c>
      <c r="H26" s="14"/>
      <c r="I26" s="14"/>
      <c r="J26" s="14"/>
      <c r="K26" s="14"/>
      <c r="L26" s="14"/>
      <c r="M26" s="27" t="s">
        <v>39</v>
      </c>
      <c r="N26" s="27"/>
      <c r="O26" s="27"/>
      <c r="P26" s="28"/>
    </row>
    <row r="27" spans="1:16">
      <c r="A27" s="24" t="s">
        <v>29</v>
      </c>
      <c r="B27" s="15" t="s">
        <v>33</v>
      </c>
      <c r="C27" s="12" t="s">
        <v>30</v>
      </c>
      <c r="D27" s="12" t="s">
        <v>37</v>
      </c>
      <c r="E27" s="12" t="s">
        <v>13</v>
      </c>
      <c r="F27" s="16"/>
      <c r="G27" s="14" t="s">
        <v>42</v>
      </c>
      <c r="H27" s="14"/>
      <c r="I27" s="14"/>
      <c r="J27" s="14"/>
      <c r="K27" s="14"/>
      <c r="L27" s="14"/>
      <c r="M27" s="27" t="s">
        <v>39</v>
      </c>
      <c r="N27" s="27"/>
      <c r="O27" s="27"/>
      <c r="P27" s="28"/>
    </row>
    <row r="28" spans="1:16">
      <c r="A28" s="24" t="s">
        <v>29</v>
      </c>
      <c r="B28" s="15" t="s">
        <v>34</v>
      </c>
      <c r="C28" s="12" t="s">
        <v>31</v>
      </c>
      <c r="D28" s="12" t="s">
        <v>37</v>
      </c>
      <c r="E28" s="12" t="s">
        <v>13</v>
      </c>
      <c r="F28" s="16"/>
      <c r="G28" s="14" t="s">
        <v>43</v>
      </c>
      <c r="H28" s="14"/>
      <c r="I28" s="14"/>
      <c r="J28" s="14"/>
      <c r="K28" s="14"/>
      <c r="L28" s="14"/>
      <c r="M28" s="27" t="s">
        <v>39</v>
      </c>
      <c r="N28" s="27"/>
      <c r="O28" s="27"/>
      <c r="P28" s="28"/>
    </row>
    <row r="29" spans="1:16" ht="18" thickBot="1">
      <c r="A29" s="29" t="s">
        <v>29</v>
      </c>
      <c r="B29" s="30" t="s">
        <v>35</v>
      </c>
      <c r="C29" s="31" t="s">
        <v>32</v>
      </c>
      <c r="D29" s="31" t="s">
        <v>37</v>
      </c>
      <c r="E29" s="31" t="s">
        <v>13</v>
      </c>
      <c r="F29" s="32"/>
      <c r="G29" s="33" t="s">
        <v>44</v>
      </c>
      <c r="H29" s="33"/>
      <c r="I29" s="33"/>
      <c r="J29" s="33"/>
      <c r="K29" s="33"/>
      <c r="L29" s="33"/>
      <c r="M29" s="34" t="s">
        <v>39</v>
      </c>
      <c r="N29" s="34"/>
      <c r="O29" s="34"/>
      <c r="P29" s="35"/>
    </row>
    <row r="30" spans="1:16">
      <c r="A30" s="14"/>
      <c r="B30" s="12"/>
      <c r="C30" s="12"/>
      <c r="D30" s="12"/>
      <c r="E30" s="12"/>
      <c r="F30" s="12"/>
      <c r="G30" s="14"/>
      <c r="H30" s="14"/>
      <c r="I30" s="14"/>
      <c r="J30" s="14"/>
      <c r="K30" s="14"/>
      <c r="L30" s="14"/>
    </row>
    <row r="31" spans="1:16">
      <c r="A31" s="14"/>
      <c r="B31" s="12"/>
      <c r="C31" s="12"/>
      <c r="D31" s="12"/>
      <c r="E31" s="12"/>
      <c r="F31" s="12"/>
      <c r="G31" s="14"/>
      <c r="H31" s="14"/>
      <c r="I31" s="14"/>
      <c r="J31" s="14"/>
      <c r="K31" s="14"/>
      <c r="L31" s="14"/>
    </row>
    <row r="32" spans="1:16">
      <c r="A32" s="14"/>
      <c r="B32" s="12"/>
      <c r="C32" s="12"/>
      <c r="D32" s="12"/>
      <c r="E32" s="12"/>
      <c r="F32" s="12"/>
      <c r="G32" s="14"/>
      <c r="H32" s="14"/>
      <c r="I32" s="14"/>
      <c r="J32" s="14"/>
      <c r="K32" s="14"/>
      <c r="L32" s="14"/>
    </row>
    <row r="33" spans="1:12">
      <c r="A33" s="14"/>
      <c r="B33" s="12"/>
      <c r="C33" s="12"/>
      <c r="D33" s="12"/>
      <c r="E33" s="12"/>
      <c r="F33" s="12"/>
      <c r="G33" s="14"/>
      <c r="H33" s="14"/>
      <c r="I33" s="14"/>
      <c r="J33" s="14"/>
      <c r="K33" s="14"/>
      <c r="L33" s="14"/>
    </row>
  </sheetData>
  <phoneticPr fontId="1" type="noConversion"/>
  <hyperlinks>
    <hyperlink ref="B4" r:id="rId1"/>
    <hyperlink ref="B6"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19" bestFit="1" customWidth="1"/>
    <col min="2" max="2" width="12.59765625" style="119" bestFit="1" customWidth="1"/>
    <col min="3" max="3" width="13.59765625" style="119" bestFit="1" customWidth="1"/>
    <col min="4" max="4" width="52.59765625" style="119" customWidth="1"/>
    <col min="5" max="5" width="45.8984375" style="119" customWidth="1"/>
    <col min="6" max="7" width="32.8984375" style="119" customWidth="1"/>
    <col min="8" max="16384" width="29" style="119"/>
  </cols>
  <sheetData>
    <row r="1" spans="1:6" s="163" customFormat="1" ht="24.75" customHeight="1">
      <c r="A1" s="163" t="s">
        <v>855</v>
      </c>
      <c r="B1" s="163" t="s">
        <v>856</v>
      </c>
      <c r="C1" s="163" t="s">
        <v>857</v>
      </c>
      <c r="D1" s="163" t="s">
        <v>185</v>
      </c>
      <c r="E1" s="163" t="s">
        <v>184</v>
      </c>
    </row>
    <row r="2" spans="1:6" ht="96.6">
      <c r="A2" s="119" t="s">
        <v>1049</v>
      </c>
      <c r="B2" s="119">
        <v>1</v>
      </c>
      <c r="D2" s="119" t="s">
        <v>858</v>
      </c>
      <c r="E2" s="119" t="s">
        <v>546</v>
      </c>
      <c r="F2" s="133"/>
    </row>
    <row r="3" spans="1:6" ht="86.4">
      <c r="A3" s="119">
        <v>450</v>
      </c>
      <c r="B3" s="119">
        <v>2</v>
      </c>
      <c r="D3" s="119" t="s">
        <v>859</v>
      </c>
      <c r="E3" s="119" t="s">
        <v>860</v>
      </c>
      <c r="F3" s="133"/>
    </row>
    <row r="4" spans="1:6" ht="86.4">
      <c r="B4" s="119">
        <v>3</v>
      </c>
      <c r="D4" s="119" t="s">
        <v>817</v>
      </c>
      <c r="E4" s="164" t="s">
        <v>547</v>
      </c>
      <c r="F4" s="132"/>
    </row>
    <row r="5" spans="1:6" ht="86.4">
      <c r="B5" s="119">
        <v>4</v>
      </c>
      <c r="D5" s="119" t="s">
        <v>861</v>
      </c>
      <c r="E5" s="164" t="s">
        <v>548</v>
      </c>
      <c r="F5" s="132"/>
    </row>
    <row r="6" spans="1:6" ht="72">
      <c r="B6" s="119">
        <v>5</v>
      </c>
      <c r="D6" s="119" t="s">
        <v>862</v>
      </c>
      <c r="E6" s="119" t="s">
        <v>549</v>
      </c>
      <c r="F6" s="132"/>
    </row>
    <row r="7" spans="1:6" ht="58.5" customHeight="1">
      <c r="B7" s="119">
        <v>6</v>
      </c>
      <c r="D7" s="119" t="s">
        <v>1030</v>
      </c>
      <c r="E7" s="164" t="s">
        <v>989</v>
      </c>
    </row>
    <row r="8" spans="1:6" ht="14.4">
      <c r="B8" s="119">
        <v>101</v>
      </c>
      <c r="D8" s="119" t="s">
        <v>321</v>
      </c>
      <c r="E8" s="119" t="s">
        <v>516</v>
      </c>
      <c r="F8" s="133"/>
    </row>
    <row r="9" spans="1:6" ht="14.4">
      <c r="B9" s="119">
        <v>102</v>
      </c>
      <c r="D9" s="119" t="s">
        <v>189</v>
      </c>
      <c r="E9" s="119" t="s">
        <v>517</v>
      </c>
      <c r="F9" s="133"/>
    </row>
    <row r="10" spans="1:6" ht="14.4">
      <c r="B10" s="119">
        <v>103</v>
      </c>
      <c r="D10" s="119" t="s">
        <v>190</v>
      </c>
      <c r="E10" s="119" t="s">
        <v>518</v>
      </c>
      <c r="F10" s="133"/>
    </row>
    <row r="11" spans="1:6" ht="14.4">
      <c r="B11" s="119">
        <v>104</v>
      </c>
      <c r="D11" s="119" t="s">
        <v>191</v>
      </c>
      <c r="E11" s="119" t="s">
        <v>519</v>
      </c>
      <c r="F11" s="133"/>
    </row>
    <row r="12" spans="1:6" ht="14.4">
      <c r="B12" s="119">
        <v>105</v>
      </c>
      <c r="D12" s="119" t="s">
        <v>192</v>
      </c>
      <c r="E12" s="119" t="s">
        <v>520</v>
      </c>
      <c r="F12" s="134"/>
    </row>
    <row r="13" spans="1:6" ht="14.4">
      <c r="B13" s="119">
        <v>106</v>
      </c>
      <c r="D13" s="119" t="s">
        <v>525</v>
      </c>
      <c r="E13" s="164" t="s">
        <v>338</v>
      </c>
      <c r="F13" s="133"/>
    </row>
    <row r="14" spans="1:6" ht="14.4">
      <c r="B14" s="119">
        <v>107</v>
      </c>
      <c r="D14" s="119" t="s">
        <v>521</v>
      </c>
      <c r="E14" s="164" t="s">
        <v>522</v>
      </c>
      <c r="F14" s="133"/>
    </row>
    <row r="15" spans="1:6" ht="14.4">
      <c r="B15" s="119">
        <v>108</v>
      </c>
      <c r="D15" s="119" t="s">
        <v>193</v>
      </c>
      <c r="E15" s="164" t="s">
        <v>526</v>
      </c>
      <c r="F15" s="134"/>
    </row>
    <row r="16" spans="1:6" ht="14.4">
      <c r="B16" s="119">
        <v>109</v>
      </c>
      <c r="D16" s="119" t="s">
        <v>194</v>
      </c>
      <c r="E16" s="164" t="s">
        <v>527</v>
      </c>
      <c r="F16" s="133"/>
    </row>
    <row r="17" spans="1:9" ht="14.4">
      <c r="B17" s="119">
        <v>110</v>
      </c>
      <c r="D17" s="119" t="s">
        <v>137</v>
      </c>
      <c r="E17" s="164" t="s">
        <v>339</v>
      </c>
      <c r="F17" s="133"/>
    </row>
    <row r="18" spans="1:9" ht="27.6">
      <c r="B18" s="119">
        <v>11001</v>
      </c>
      <c r="C18" s="119" t="s">
        <v>863</v>
      </c>
      <c r="D18" s="119" t="s">
        <v>864</v>
      </c>
      <c r="E18" s="164" t="s">
        <v>339</v>
      </c>
      <c r="F18" s="133"/>
    </row>
    <row r="19" spans="1:9" ht="28.8">
      <c r="B19" s="119">
        <v>111</v>
      </c>
      <c r="D19" s="119" t="s">
        <v>528</v>
      </c>
      <c r="E19" s="119" t="s">
        <v>529</v>
      </c>
      <c r="F19" s="133"/>
    </row>
    <row r="20" spans="1:9" ht="14.4">
      <c r="B20" s="119">
        <v>112</v>
      </c>
      <c r="D20" s="119" t="s">
        <v>195</v>
      </c>
      <c r="E20" s="119" t="s">
        <v>530</v>
      </c>
      <c r="F20" s="133"/>
    </row>
    <row r="21" spans="1:9" ht="42">
      <c r="B21" s="119">
        <v>113</v>
      </c>
      <c r="D21" s="119" t="s">
        <v>865</v>
      </c>
      <c r="E21" s="119" t="s">
        <v>866</v>
      </c>
      <c r="F21" s="133"/>
    </row>
    <row r="22" spans="1:9" ht="14.4">
      <c r="B22" s="119">
        <v>114</v>
      </c>
      <c r="D22" s="119" t="s">
        <v>867</v>
      </c>
      <c r="E22" s="119" t="s">
        <v>531</v>
      </c>
      <c r="F22" s="133"/>
    </row>
    <row r="23" spans="1:9" ht="28.8">
      <c r="B23" s="119">
        <v>115</v>
      </c>
      <c r="D23" s="119" t="s">
        <v>532</v>
      </c>
      <c r="E23" s="119" t="s">
        <v>533</v>
      </c>
      <c r="F23" s="133"/>
    </row>
    <row r="24" spans="1:9" ht="14.4">
      <c r="B24" s="119">
        <v>116</v>
      </c>
      <c r="D24" s="119" t="s">
        <v>534</v>
      </c>
      <c r="E24" s="119" t="s">
        <v>535</v>
      </c>
      <c r="F24" s="133"/>
    </row>
    <row r="25" spans="1:9" ht="14.4">
      <c r="B25" s="119">
        <v>117</v>
      </c>
      <c r="D25" s="119" t="s">
        <v>868</v>
      </c>
      <c r="E25" s="119" t="s">
        <v>536</v>
      </c>
      <c r="F25" s="133"/>
    </row>
    <row r="26" spans="1:9" ht="14.4">
      <c r="B26" s="119">
        <v>118</v>
      </c>
      <c r="D26" s="119" t="s">
        <v>537</v>
      </c>
      <c r="E26" s="164" t="s">
        <v>538</v>
      </c>
      <c r="F26" s="133"/>
    </row>
    <row r="27" spans="1:9" ht="14.4">
      <c r="B27" s="119">
        <v>119</v>
      </c>
      <c r="D27" s="119" t="s">
        <v>539</v>
      </c>
      <c r="E27" s="119" t="s">
        <v>540</v>
      </c>
      <c r="F27" s="133"/>
    </row>
    <row r="28" spans="1:9" ht="27.6">
      <c r="B28" s="119">
        <v>120</v>
      </c>
      <c r="D28" s="119" t="s">
        <v>541</v>
      </c>
      <c r="E28" s="119" t="s">
        <v>542</v>
      </c>
      <c r="F28" s="133"/>
    </row>
    <row r="29" spans="1:9" s="121" customFormat="1" ht="27.6">
      <c r="A29" s="119"/>
      <c r="B29" s="119">
        <v>121</v>
      </c>
      <c r="C29" s="119"/>
      <c r="D29" s="119" t="s">
        <v>543</v>
      </c>
      <c r="E29" s="119" t="s">
        <v>544</v>
      </c>
      <c r="F29" s="133"/>
      <c r="G29" s="119"/>
      <c r="H29" s="119"/>
      <c r="I29" s="119"/>
    </row>
    <row r="30" spans="1:9" ht="28.8">
      <c r="B30" s="119">
        <v>122</v>
      </c>
      <c r="D30" s="119" t="s">
        <v>869</v>
      </c>
      <c r="E30" s="119" t="s">
        <v>545</v>
      </c>
      <c r="F30" s="133"/>
    </row>
    <row r="31" spans="1:9" ht="14.4">
      <c r="B31" s="119">
        <v>123</v>
      </c>
      <c r="D31" s="119" t="s">
        <v>188</v>
      </c>
      <c r="E31" s="119" t="s">
        <v>550</v>
      </c>
      <c r="F31" s="132"/>
    </row>
    <row r="32" spans="1:9" ht="14.4">
      <c r="B32" s="119">
        <v>124</v>
      </c>
      <c r="D32" s="119" t="s">
        <v>340</v>
      </c>
      <c r="E32" s="119" t="s">
        <v>551</v>
      </c>
      <c r="F32" s="133"/>
    </row>
    <row r="33" spans="2:6" ht="14.4">
      <c r="B33" s="119">
        <v>125</v>
      </c>
      <c r="D33" s="119" t="s">
        <v>318</v>
      </c>
      <c r="E33" s="119" t="s">
        <v>552</v>
      </c>
      <c r="F33" s="133"/>
    </row>
    <row r="34" spans="2:6" ht="14.4">
      <c r="B34" s="119">
        <v>126</v>
      </c>
      <c r="D34" s="119" t="s">
        <v>196</v>
      </c>
      <c r="E34" s="119" t="s">
        <v>197</v>
      </c>
      <c r="F34" s="133"/>
    </row>
    <row r="35" spans="2:6" ht="14.4">
      <c r="B35" s="119">
        <v>127</v>
      </c>
      <c r="D35" s="119" t="s">
        <v>198</v>
      </c>
      <c r="E35" s="119" t="s">
        <v>553</v>
      </c>
      <c r="F35" s="133"/>
    </row>
    <row r="36" spans="2:6" ht="14.4">
      <c r="B36" s="119">
        <v>128</v>
      </c>
      <c r="D36" s="165" t="s">
        <v>511</v>
      </c>
      <c r="E36" s="166">
        <v>42705</v>
      </c>
      <c r="F36" s="133"/>
    </row>
    <row r="37" spans="2:6" ht="14.4">
      <c r="B37" s="119">
        <v>129</v>
      </c>
      <c r="D37" s="165" t="s">
        <v>511</v>
      </c>
      <c r="E37" s="166">
        <v>42705</v>
      </c>
      <c r="F37" s="133"/>
    </row>
    <row r="38" spans="2:6" ht="14.4">
      <c r="B38" s="119">
        <v>130</v>
      </c>
      <c r="D38" s="165" t="s">
        <v>512</v>
      </c>
      <c r="E38" s="166">
        <v>42735</v>
      </c>
      <c r="F38" s="133"/>
    </row>
    <row r="39" spans="2:6" ht="14.4">
      <c r="B39" s="119">
        <v>131</v>
      </c>
      <c r="D39" s="165" t="s">
        <v>512</v>
      </c>
      <c r="E39" s="166">
        <v>42735</v>
      </c>
      <c r="F39" s="133"/>
    </row>
    <row r="40" spans="2:6" ht="14.4">
      <c r="B40" s="119">
        <v>132</v>
      </c>
      <c r="D40" s="119" t="s">
        <v>150</v>
      </c>
      <c r="E40" s="119" t="s">
        <v>150</v>
      </c>
      <c r="F40" s="133"/>
    </row>
    <row r="41" spans="2:6" ht="14.4">
      <c r="B41" s="119">
        <v>133</v>
      </c>
      <c r="D41" s="119" t="s">
        <v>341</v>
      </c>
      <c r="E41" s="164" t="s">
        <v>554</v>
      </c>
      <c r="F41" s="133"/>
    </row>
    <row r="42" spans="2:6" ht="14.4">
      <c r="B42" s="119">
        <v>134</v>
      </c>
      <c r="D42" s="119" t="s">
        <v>870</v>
      </c>
      <c r="E42" s="164" t="s">
        <v>871</v>
      </c>
      <c r="F42" s="133"/>
    </row>
    <row r="43" spans="2:6" ht="28.8">
      <c r="B43" s="119">
        <v>135</v>
      </c>
      <c r="D43" s="119" t="s">
        <v>342</v>
      </c>
      <c r="E43" s="164" t="s">
        <v>555</v>
      </c>
      <c r="F43" s="133"/>
    </row>
    <row r="44" spans="2:6" ht="28.8">
      <c r="B44" s="119">
        <v>136</v>
      </c>
      <c r="D44" s="119" t="s">
        <v>199</v>
      </c>
      <c r="E44" s="164" t="s">
        <v>556</v>
      </c>
      <c r="F44" s="134"/>
    </row>
    <row r="45" spans="2:6" ht="14.4">
      <c r="B45" s="119">
        <v>137</v>
      </c>
      <c r="D45" s="119" t="s">
        <v>200</v>
      </c>
      <c r="E45" s="164" t="s">
        <v>343</v>
      </c>
      <c r="F45" s="134"/>
    </row>
    <row r="46" spans="2:6" ht="28.8">
      <c r="B46" s="119">
        <v>138</v>
      </c>
      <c r="D46" s="119" t="s">
        <v>344</v>
      </c>
      <c r="E46" s="164" t="s">
        <v>557</v>
      </c>
      <c r="F46" s="134"/>
    </row>
    <row r="47" spans="2:6" ht="14.4">
      <c r="B47" s="119">
        <v>139</v>
      </c>
      <c r="D47" s="119" t="s">
        <v>201</v>
      </c>
      <c r="E47" s="164" t="s">
        <v>558</v>
      </c>
      <c r="F47" s="133"/>
    </row>
    <row r="48" spans="2:6" ht="28.8">
      <c r="B48" s="119">
        <v>140</v>
      </c>
      <c r="D48" s="119" t="s">
        <v>345</v>
      </c>
      <c r="E48" s="164" t="s">
        <v>559</v>
      </c>
      <c r="F48" s="133"/>
    </row>
    <row r="49" spans="1:6" ht="28.8">
      <c r="B49" s="119">
        <v>141</v>
      </c>
      <c r="D49" s="119" t="s">
        <v>202</v>
      </c>
      <c r="E49" s="164" t="s">
        <v>560</v>
      </c>
      <c r="F49" s="133"/>
    </row>
    <row r="50" spans="1:6" ht="14.4">
      <c r="A50" s="120"/>
      <c r="B50" s="119">
        <v>142</v>
      </c>
      <c r="D50" s="119" t="s">
        <v>203</v>
      </c>
      <c r="E50" s="164" t="s">
        <v>346</v>
      </c>
      <c r="F50" s="133"/>
    </row>
    <row r="51" spans="1:6" ht="28.8">
      <c r="A51" s="120"/>
      <c r="B51" s="119">
        <v>143</v>
      </c>
      <c r="D51" s="119" t="s">
        <v>347</v>
      </c>
      <c r="E51" s="164" t="s">
        <v>561</v>
      </c>
      <c r="F51" s="133"/>
    </row>
    <row r="52" spans="1:6" ht="14.4">
      <c r="A52" s="120"/>
      <c r="B52" s="119">
        <v>144</v>
      </c>
      <c r="D52" s="119" t="s">
        <v>204</v>
      </c>
      <c r="E52" s="164" t="s">
        <v>562</v>
      </c>
      <c r="F52" s="133"/>
    </row>
    <row r="53" spans="1:6" ht="28.8">
      <c r="A53" s="120"/>
      <c r="B53" s="119">
        <v>145</v>
      </c>
      <c r="D53" s="119" t="s">
        <v>348</v>
      </c>
      <c r="E53" s="164" t="s">
        <v>563</v>
      </c>
      <c r="F53" s="133"/>
    </row>
    <row r="54" spans="1:6" ht="14.4">
      <c r="A54" s="120"/>
      <c r="B54" s="119">
        <v>146</v>
      </c>
      <c r="D54" s="119" t="s">
        <v>564</v>
      </c>
      <c r="E54" s="164" t="s">
        <v>872</v>
      </c>
      <c r="F54" s="133"/>
    </row>
    <row r="55" spans="1:6" ht="27.6">
      <c r="A55" s="120"/>
      <c r="B55" s="119">
        <v>14601</v>
      </c>
      <c r="C55" s="119" t="s">
        <v>873</v>
      </c>
      <c r="D55" s="119" t="s">
        <v>874</v>
      </c>
      <c r="E55" s="164" t="s">
        <v>875</v>
      </c>
      <c r="F55" s="133"/>
    </row>
    <row r="56" spans="1:6" ht="14.4">
      <c r="A56" s="120"/>
      <c r="B56" s="119">
        <v>147</v>
      </c>
      <c r="D56" s="119" t="s">
        <v>565</v>
      </c>
      <c r="E56" s="164" t="s">
        <v>818</v>
      </c>
      <c r="F56" s="133"/>
    </row>
    <row r="57" spans="1:6" ht="14.4">
      <c r="A57" s="120"/>
      <c r="B57" s="119">
        <v>148</v>
      </c>
      <c r="D57" s="119" t="s">
        <v>133</v>
      </c>
      <c r="E57" s="164" t="s">
        <v>566</v>
      </c>
      <c r="F57" s="133"/>
    </row>
    <row r="58" spans="1:6" ht="27.6">
      <c r="A58" s="120"/>
      <c r="B58" s="119">
        <v>14801</v>
      </c>
      <c r="C58" s="119" t="s">
        <v>873</v>
      </c>
      <c r="D58" s="119" t="s">
        <v>876</v>
      </c>
      <c r="E58" s="164" t="s">
        <v>877</v>
      </c>
      <c r="F58" s="133"/>
    </row>
    <row r="59" spans="1:6" ht="14.4">
      <c r="A59" s="120"/>
      <c r="B59" s="119">
        <v>149</v>
      </c>
      <c r="D59" s="119" t="s">
        <v>132</v>
      </c>
      <c r="E59" s="164" t="s">
        <v>567</v>
      </c>
      <c r="F59" s="133"/>
    </row>
    <row r="60" spans="1:6" ht="27.6">
      <c r="A60" s="120"/>
      <c r="B60" s="119">
        <v>14901</v>
      </c>
      <c r="C60" s="119" t="s">
        <v>863</v>
      </c>
      <c r="D60" s="119" t="s">
        <v>878</v>
      </c>
      <c r="E60" s="164" t="s">
        <v>879</v>
      </c>
      <c r="F60" s="133"/>
    </row>
    <row r="61" spans="1:6" ht="14.4">
      <c r="A61" s="120"/>
      <c r="B61" s="119">
        <v>150</v>
      </c>
      <c r="D61" s="119" t="s">
        <v>880</v>
      </c>
      <c r="E61" s="164" t="s">
        <v>881</v>
      </c>
      <c r="F61" s="133"/>
    </row>
    <row r="62" spans="1:6" ht="14.4">
      <c r="A62" s="120"/>
      <c r="B62" s="119">
        <v>151</v>
      </c>
      <c r="D62" s="119" t="s">
        <v>135</v>
      </c>
      <c r="E62" s="164" t="s">
        <v>568</v>
      </c>
      <c r="F62" s="133"/>
    </row>
    <row r="63" spans="1:6" ht="27.6">
      <c r="A63" s="120"/>
      <c r="B63" s="119">
        <v>15101</v>
      </c>
      <c r="C63" s="119" t="s">
        <v>863</v>
      </c>
      <c r="D63" s="119" t="s">
        <v>882</v>
      </c>
      <c r="E63" s="164" t="s">
        <v>883</v>
      </c>
      <c r="F63" s="133"/>
    </row>
    <row r="64" spans="1:6" ht="14.4">
      <c r="A64" s="120"/>
      <c r="B64" s="119">
        <v>152</v>
      </c>
      <c r="D64" s="119" t="s">
        <v>134</v>
      </c>
      <c r="E64" s="164" t="s">
        <v>569</v>
      </c>
      <c r="F64" s="133"/>
    </row>
    <row r="65" spans="1:6" ht="27.6">
      <c r="A65" s="120"/>
      <c r="B65" s="119">
        <v>15201</v>
      </c>
      <c r="C65" s="119" t="s">
        <v>873</v>
      </c>
      <c r="D65" s="119" t="s">
        <v>884</v>
      </c>
      <c r="E65" s="164" t="s">
        <v>885</v>
      </c>
      <c r="F65" s="133"/>
    </row>
    <row r="66" spans="1:6" ht="14.4">
      <c r="A66" s="120"/>
      <c r="B66" s="119">
        <v>153</v>
      </c>
      <c r="D66" s="119" t="s">
        <v>205</v>
      </c>
      <c r="E66" s="164" t="s">
        <v>570</v>
      </c>
      <c r="F66" s="133"/>
    </row>
    <row r="67" spans="1:6" ht="27.6">
      <c r="B67" s="119">
        <v>154</v>
      </c>
      <c r="D67" s="119" t="s">
        <v>349</v>
      </c>
      <c r="E67" s="164" t="s">
        <v>571</v>
      </c>
      <c r="F67" s="133"/>
    </row>
    <row r="68" spans="1:6" ht="28.8">
      <c r="B68" s="119">
        <v>155</v>
      </c>
      <c r="D68" s="119" t="s">
        <v>337</v>
      </c>
      <c r="E68" s="164" t="s">
        <v>572</v>
      </c>
      <c r="F68" s="133"/>
    </row>
    <row r="69" spans="1:6" ht="14.4">
      <c r="B69" s="119">
        <v>156</v>
      </c>
      <c r="D69" s="119" t="s">
        <v>206</v>
      </c>
      <c r="E69" s="119" t="s">
        <v>206</v>
      </c>
      <c r="F69" s="133"/>
    </row>
    <row r="70" spans="1:6" ht="14.4">
      <c r="B70" s="119">
        <v>157</v>
      </c>
      <c r="D70" s="119" t="s">
        <v>207</v>
      </c>
      <c r="E70" s="164" t="s">
        <v>573</v>
      </c>
      <c r="F70" s="133"/>
    </row>
    <row r="71" spans="1:6" ht="14.4">
      <c r="B71" s="119">
        <v>158</v>
      </c>
      <c r="D71" s="119" t="s">
        <v>115</v>
      </c>
      <c r="E71" s="119" t="s">
        <v>574</v>
      </c>
      <c r="F71" s="133"/>
    </row>
    <row r="72" spans="1:6" ht="14.4">
      <c r="B72" s="119">
        <v>159</v>
      </c>
      <c r="D72" s="119" t="s">
        <v>122</v>
      </c>
      <c r="E72" s="164" t="s">
        <v>575</v>
      </c>
      <c r="F72" s="133"/>
    </row>
    <row r="73" spans="1:6" ht="14.4">
      <c r="B73" s="119">
        <v>160</v>
      </c>
      <c r="D73" s="119" t="s">
        <v>208</v>
      </c>
      <c r="E73" s="164" t="s">
        <v>576</v>
      </c>
      <c r="F73" s="133"/>
    </row>
    <row r="74" spans="1:6" ht="28.8">
      <c r="B74" s="119">
        <v>161</v>
      </c>
      <c r="D74" s="119" t="s">
        <v>320</v>
      </c>
      <c r="E74" s="164" t="s">
        <v>577</v>
      </c>
      <c r="F74" s="133"/>
    </row>
    <row r="75" spans="1:6" ht="28.8">
      <c r="B75" s="119">
        <v>162</v>
      </c>
      <c r="D75" s="119" t="s">
        <v>350</v>
      </c>
      <c r="E75" s="164" t="s">
        <v>578</v>
      </c>
      <c r="F75" s="133"/>
    </row>
    <row r="76" spans="1:6" ht="28.8">
      <c r="B76" s="119">
        <v>163</v>
      </c>
      <c r="D76" s="119" t="s">
        <v>138</v>
      </c>
      <c r="E76" s="164" t="s">
        <v>579</v>
      </c>
      <c r="F76" s="133"/>
    </row>
    <row r="77" spans="1:6" ht="14.4">
      <c r="B77" s="119">
        <v>164</v>
      </c>
      <c r="D77" s="119" t="s">
        <v>145</v>
      </c>
      <c r="E77" s="164" t="s">
        <v>333</v>
      </c>
      <c r="F77" s="133"/>
    </row>
    <row r="78" spans="1:6" ht="14.4">
      <c r="B78" s="119">
        <v>165</v>
      </c>
      <c r="D78" s="119" t="s">
        <v>209</v>
      </c>
      <c r="E78" s="164" t="s">
        <v>351</v>
      </c>
      <c r="F78" s="133"/>
    </row>
    <row r="79" spans="1:6" ht="14.4">
      <c r="B79" s="119">
        <v>166</v>
      </c>
      <c r="D79" s="119" t="s">
        <v>210</v>
      </c>
      <c r="E79" s="164" t="s">
        <v>580</v>
      </c>
      <c r="F79" s="133"/>
    </row>
    <row r="80" spans="1:6" ht="28.8">
      <c r="B80" s="119">
        <v>167</v>
      </c>
      <c r="D80" s="119" t="s">
        <v>352</v>
      </c>
      <c r="E80" s="164" t="s">
        <v>581</v>
      </c>
      <c r="F80" s="133"/>
    </row>
    <row r="81" spans="2:6" ht="14.4">
      <c r="B81" s="119">
        <v>168</v>
      </c>
      <c r="D81" s="119" t="s">
        <v>886</v>
      </c>
      <c r="E81" s="119" t="s">
        <v>582</v>
      </c>
      <c r="F81" s="133"/>
    </row>
    <row r="82" spans="2:6" ht="14.4">
      <c r="B82" s="119">
        <v>169</v>
      </c>
      <c r="D82" s="119" t="s">
        <v>211</v>
      </c>
      <c r="E82" s="119" t="s">
        <v>583</v>
      </c>
      <c r="F82" s="133"/>
    </row>
    <row r="83" spans="2:6" ht="14.4">
      <c r="B83" s="119">
        <v>170</v>
      </c>
      <c r="D83" s="119" t="s">
        <v>212</v>
      </c>
      <c r="E83" s="164" t="s">
        <v>584</v>
      </c>
      <c r="F83" s="133"/>
    </row>
    <row r="84" spans="2:6" ht="28.8">
      <c r="B84" s="119">
        <v>171</v>
      </c>
      <c r="D84" s="119" t="s">
        <v>213</v>
      </c>
      <c r="E84" s="164" t="s">
        <v>585</v>
      </c>
      <c r="F84" s="133"/>
    </row>
    <row r="85" spans="2:6" ht="28.8">
      <c r="B85" s="119">
        <v>172</v>
      </c>
      <c r="D85" s="119" t="s">
        <v>214</v>
      </c>
      <c r="E85" s="164" t="s">
        <v>586</v>
      </c>
      <c r="F85" s="133"/>
    </row>
    <row r="86" spans="2:6" ht="14.4">
      <c r="B86" s="119">
        <v>173</v>
      </c>
      <c r="D86" s="119" t="s">
        <v>118</v>
      </c>
      <c r="E86" s="119" t="s">
        <v>118</v>
      </c>
      <c r="F86" s="133"/>
    </row>
    <row r="87" spans="2:6" ht="14.4">
      <c r="B87" s="119">
        <v>174</v>
      </c>
      <c r="D87" s="119" t="s">
        <v>158</v>
      </c>
      <c r="E87" s="164" t="s">
        <v>353</v>
      </c>
      <c r="F87" s="133"/>
    </row>
    <row r="88" spans="2:6" ht="14.4">
      <c r="B88" s="119">
        <v>175</v>
      </c>
      <c r="D88" s="119" t="s">
        <v>313</v>
      </c>
      <c r="E88" s="164" t="s">
        <v>354</v>
      </c>
      <c r="F88" s="133"/>
    </row>
    <row r="89" spans="2:6" ht="14.4">
      <c r="B89" s="119">
        <v>176</v>
      </c>
      <c r="D89" s="119" t="s">
        <v>215</v>
      </c>
      <c r="E89" s="164" t="s">
        <v>355</v>
      </c>
      <c r="F89" s="133"/>
    </row>
    <row r="90" spans="2:6" ht="14.4">
      <c r="B90" s="119">
        <v>177</v>
      </c>
      <c r="D90" s="119" t="s">
        <v>216</v>
      </c>
      <c r="E90" s="164" t="s">
        <v>587</v>
      </c>
      <c r="F90" s="133"/>
    </row>
    <row r="91" spans="2:6" ht="14.4">
      <c r="B91" s="119">
        <v>178</v>
      </c>
      <c r="D91" s="119" t="s">
        <v>217</v>
      </c>
      <c r="E91" s="119" t="s">
        <v>588</v>
      </c>
      <c r="F91" s="133"/>
    </row>
    <row r="92" spans="2:6" ht="14.4">
      <c r="B92" s="119">
        <v>179</v>
      </c>
      <c r="D92" s="119" t="s">
        <v>218</v>
      </c>
      <c r="E92" s="119" t="s">
        <v>589</v>
      </c>
      <c r="F92" s="133"/>
    </row>
    <row r="93" spans="2:6" ht="14.4">
      <c r="B93" s="119">
        <v>180</v>
      </c>
      <c r="D93" s="119" t="s">
        <v>219</v>
      </c>
      <c r="E93" s="164" t="s">
        <v>590</v>
      </c>
      <c r="F93" s="133"/>
    </row>
    <row r="94" spans="2:6" ht="14.4">
      <c r="B94" s="119">
        <v>181</v>
      </c>
      <c r="D94" s="119" t="s">
        <v>220</v>
      </c>
      <c r="E94" s="164" t="s">
        <v>591</v>
      </c>
      <c r="F94" s="133"/>
    </row>
    <row r="95" spans="2:6" ht="14.4">
      <c r="B95" s="119">
        <v>182</v>
      </c>
      <c r="D95" s="119" t="s">
        <v>221</v>
      </c>
      <c r="E95" s="164" t="s">
        <v>592</v>
      </c>
      <c r="F95" s="133"/>
    </row>
    <row r="96" spans="2:6" ht="14.4">
      <c r="B96" s="119">
        <v>183</v>
      </c>
      <c r="D96" s="119" t="s">
        <v>112</v>
      </c>
      <c r="E96" s="164" t="s">
        <v>356</v>
      </c>
      <c r="F96" s="133"/>
    </row>
    <row r="97" spans="2:6" ht="14.4">
      <c r="B97" s="119">
        <v>184</v>
      </c>
      <c r="D97" s="119" t="s">
        <v>357</v>
      </c>
      <c r="E97" s="164" t="s">
        <v>593</v>
      </c>
      <c r="F97" s="133"/>
    </row>
    <row r="98" spans="2:6" ht="14.4">
      <c r="B98" s="119">
        <v>185</v>
      </c>
      <c r="D98" s="119" t="s">
        <v>121</v>
      </c>
      <c r="E98" s="164" t="s">
        <v>358</v>
      </c>
      <c r="F98" s="133"/>
    </row>
    <row r="99" spans="2:6" ht="14.4">
      <c r="B99" s="119">
        <v>186</v>
      </c>
      <c r="D99" s="119" t="s">
        <v>222</v>
      </c>
      <c r="E99" s="164" t="s">
        <v>594</v>
      </c>
      <c r="F99" s="133"/>
    </row>
    <row r="100" spans="2:6" ht="14.4">
      <c r="B100" s="119">
        <v>187</v>
      </c>
      <c r="D100" s="119" t="s">
        <v>223</v>
      </c>
      <c r="E100" s="164" t="s">
        <v>595</v>
      </c>
      <c r="F100" s="133"/>
    </row>
    <row r="101" spans="2:6" ht="14.4">
      <c r="B101" s="119">
        <v>188</v>
      </c>
      <c r="D101" s="119" t="s">
        <v>164</v>
      </c>
      <c r="E101" s="164" t="s">
        <v>596</v>
      </c>
      <c r="F101" s="133"/>
    </row>
    <row r="102" spans="2:6" ht="14.4">
      <c r="B102" s="119">
        <v>189</v>
      </c>
      <c r="D102" s="119" t="s">
        <v>162</v>
      </c>
      <c r="E102" s="164" t="s">
        <v>359</v>
      </c>
      <c r="F102" s="133"/>
    </row>
    <row r="103" spans="2:6" ht="14.4">
      <c r="B103" s="119">
        <v>190</v>
      </c>
      <c r="D103" s="119" t="s">
        <v>360</v>
      </c>
      <c r="E103" s="164" t="s">
        <v>597</v>
      </c>
      <c r="F103" s="133"/>
    </row>
    <row r="104" spans="2:6" ht="14.4">
      <c r="B104" s="119">
        <v>191</v>
      </c>
      <c r="D104" s="119" t="s">
        <v>361</v>
      </c>
      <c r="E104" s="164" t="s">
        <v>887</v>
      </c>
      <c r="F104" s="133"/>
    </row>
    <row r="105" spans="2:6" ht="14.4">
      <c r="B105" s="119">
        <v>192</v>
      </c>
      <c r="D105" s="119" t="s">
        <v>224</v>
      </c>
      <c r="E105" s="164" t="s">
        <v>598</v>
      </c>
      <c r="F105" s="133"/>
    </row>
    <row r="106" spans="2:6" ht="14.4">
      <c r="B106" s="119">
        <v>193</v>
      </c>
      <c r="D106" s="119" t="s">
        <v>161</v>
      </c>
      <c r="E106" s="164" t="s">
        <v>599</v>
      </c>
      <c r="F106" s="133"/>
    </row>
    <row r="107" spans="2:6" ht="14.4">
      <c r="B107" s="119">
        <v>194</v>
      </c>
      <c r="D107" s="119" t="s">
        <v>225</v>
      </c>
      <c r="E107" s="164" t="s">
        <v>600</v>
      </c>
      <c r="F107" s="133"/>
    </row>
    <row r="108" spans="2:6" ht="28.8">
      <c r="B108" s="119">
        <v>195</v>
      </c>
      <c r="D108" s="119" t="s">
        <v>362</v>
      </c>
      <c r="E108" s="164" t="s">
        <v>601</v>
      </c>
      <c r="F108" s="133"/>
    </row>
    <row r="109" spans="2:6" ht="14.4">
      <c r="B109" s="119">
        <v>196</v>
      </c>
      <c r="D109" s="119" t="s">
        <v>513</v>
      </c>
      <c r="E109" s="119" t="s">
        <v>602</v>
      </c>
      <c r="F109" s="133"/>
    </row>
    <row r="110" spans="2:6" ht="14.4">
      <c r="B110" s="119">
        <v>197</v>
      </c>
      <c r="D110" s="119" t="s">
        <v>169</v>
      </c>
      <c r="E110" s="164" t="s">
        <v>603</v>
      </c>
      <c r="F110" s="133"/>
    </row>
    <row r="111" spans="2:6" ht="14.4">
      <c r="B111" s="119">
        <v>198</v>
      </c>
      <c r="D111" s="119" t="s">
        <v>363</v>
      </c>
      <c r="E111" s="164" t="s">
        <v>604</v>
      </c>
      <c r="F111" s="133"/>
    </row>
    <row r="112" spans="2:6" ht="14.4">
      <c r="B112" s="119">
        <v>199</v>
      </c>
      <c r="D112" s="119" t="s">
        <v>226</v>
      </c>
      <c r="E112" s="164" t="s">
        <v>605</v>
      </c>
      <c r="F112" s="133"/>
    </row>
    <row r="113" spans="2:6" ht="28.8">
      <c r="B113" s="119">
        <v>200</v>
      </c>
      <c r="D113" s="119" t="s">
        <v>364</v>
      </c>
      <c r="E113" s="164" t="s">
        <v>606</v>
      </c>
      <c r="F113" s="133"/>
    </row>
    <row r="114" spans="2:6" ht="57.6">
      <c r="B114" s="119">
        <v>201</v>
      </c>
      <c r="D114" s="119" t="s">
        <v>607</v>
      </c>
      <c r="E114" s="164" t="s">
        <v>608</v>
      </c>
      <c r="F114" s="133"/>
    </row>
    <row r="115" spans="2:6" ht="14.4">
      <c r="B115" s="119">
        <v>202</v>
      </c>
      <c r="D115" s="119" t="s">
        <v>227</v>
      </c>
      <c r="E115" s="164" t="s">
        <v>609</v>
      </c>
      <c r="F115" s="133"/>
    </row>
    <row r="116" spans="2:6" ht="14.4">
      <c r="B116" s="119">
        <v>203</v>
      </c>
      <c r="D116" s="119" t="s">
        <v>148</v>
      </c>
      <c r="E116" s="164" t="s">
        <v>365</v>
      </c>
      <c r="F116" s="133"/>
    </row>
    <row r="117" spans="2:6" ht="14.4">
      <c r="B117" s="119">
        <v>204</v>
      </c>
      <c r="D117" s="119" t="s">
        <v>228</v>
      </c>
      <c r="E117" s="164" t="s">
        <v>366</v>
      </c>
      <c r="F117" s="133"/>
    </row>
    <row r="118" spans="2:6" ht="14.4">
      <c r="B118" s="119">
        <v>205</v>
      </c>
      <c r="D118" s="119" t="s">
        <v>229</v>
      </c>
      <c r="E118" s="164" t="s">
        <v>610</v>
      </c>
      <c r="F118" s="133"/>
    </row>
    <row r="119" spans="2:6" ht="14.4">
      <c r="B119" s="119">
        <v>206</v>
      </c>
      <c r="D119" s="119" t="s">
        <v>230</v>
      </c>
      <c r="E119" s="164" t="s">
        <v>367</v>
      </c>
      <c r="F119" s="133"/>
    </row>
    <row r="120" spans="2:6" ht="14.4">
      <c r="B120" s="119">
        <v>207</v>
      </c>
      <c r="D120" s="119" t="s">
        <v>231</v>
      </c>
      <c r="E120" s="164" t="s">
        <v>611</v>
      </c>
      <c r="F120" s="133"/>
    </row>
    <row r="121" spans="2:6" ht="14.4">
      <c r="B121" s="119">
        <v>208</v>
      </c>
      <c r="D121" s="119" t="s">
        <v>144</v>
      </c>
      <c r="E121" s="164" t="s">
        <v>368</v>
      </c>
      <c r="F121" s="133"/>
    </row>
    <row r="122" spans="2:6" ht="14.4">
      <c r="B122" s="119">
        <v>209</v>
      </c>
      <c r="D122" s="119" t="s">
        <v>127</v>
      </c>
      <c r="E122" s="164" t="s">
        <v>369</v>
      </c>
      <c r="F122" s="133"/>
    </row>
    <row r="123" spans="2:6" ht="14.4">
      <c r="B123" s="119">
        <v>210</v>
      </c>
      <c r="D123" s="119" t="s">
        <v>157</v>
      </c>
      <c r="E123" s="164" t="s">
        <v>370</v>
      </c>
      <c r="F123" s="133"/>
    </row>
    <row r="124" spans="2:6" ht="28.8">
      <c r="B124" s="119">
        <v>211</v>
      </c>
      <c r="D124" s="119" t="s">
        <v>371</v>
      </c>
      <c r="E124" s="164" t="s">
        <v>612</v>
      </c>
      <c r="F124" s="133"/>
    </row>
    <row r="125" spans="2:6" ht="14.4">
      <c r="B125" s="119">
        <v>212</v>
      </c>
      <c r="D125" s="119" t="s">
        <v>232</v>
      </c>
      <c r="E125" s="164" t="s">
        <v>613</v>
      </c>
      <c r="F125" s="133"/>
    </row>
    <row r="126" spans="2:6" ht="28.8">
      <c r="B126" s="119">
        <v>213</v>
      </c>
      <c r="D126" s="119" t="s">
        <v>372</v>
      </c>
      <c r="E126" s="164" t="s">
        <v>614</v>
      </c>
      <c r="F126" s="133"/>
    </row>
    <row r="127" spans="2:6" ht="14.4">
      <c r="B127" s="119">
        <v>214</v>
      </c>
      <c r="D127" s="119" t="s">
        <v>233</v>
      </c>
      <c r="E127" s="164" t="s">
        <v>615</v>
      </c>
      <c r="F127" s="133"/>
    </row>
    <row r="128" spans="2:6" ht="14.4">
      <c r="B128" s="119">
        <v>215</v>
      </c>
      <c r="D128" s="119" t="s">
        <v>180</v>
      </c>
      <c r="E128" s="164" t="s">
        <v>373</v>
      </c>
      <c r="F128" s="133"/>
    </row>
    <row r="129" spans="2:6" ht="14.4">
      <c r="B129" s="119">
        <v>216</v>
      </c>
      <c r="D129" s="119" t="s">
        <v>234</v>
      </c>
      <c r="E129" s="119" t="s">
        <v>616</v>
      </c>
      <c r="F129" s="135"/>
    </row>
    <row r="130" spans="2:6" ht="14.4">
      <c r="B130" s="119">
        <v>217</v>
      </c>
      <c r="D130" s="119" t="s">
        <v>374</v>
      </c>
      <c r="E130" s="119" t="s">
        <v>617</v>
      </c>
      <c r="F130" s="133"/>
    </row>
    <row r="131" spans="2:6" ht="14.4">
      <c r="B131" s="119">
        <v>218</v>
      </c>
      <c r="D131" s="119" t="s">
        <v>165</v>
      </c>
      <c r="E131" s="164" t="s">
        <v>888</v>
      </c>
      <c r="F131" s="133"/>
    </row>
    <row r="132" spans="2:6" ht="28.8">
      <c r="B132" s="119">
        <v>219</v>
      </c>
      <c r="D132" s="119" t="s">
        <v>375</v>
      </c>
      <c r="E132" s="164" t="s">
        <v>618</v>
      </c>
      <c r="F132" s="133"/>
    </row>
    <row r="133" spans="2:6" ht="28.8">
      <c r="B133" s="119">
        <v>220</v>
      </c>
      <c r="D133" s="119" t="s">
        <v>235</v>
      </c>
      <c r="E133" s="164" t="s">
        <v>619</v>
      </c>
      <c r="F133" s="133"/>
    </row>
    <row r="134" spans="2:6" ht="28.8">
      <c r="B134" s="119">
        <v>221</v>
      </c>
      <c r="D134" s="119" t="s">
        <v>376</v>
      </c>
      <c r="E134" s="119" t="s">
        <v>620</v>
      </c>
      <c r="F134" s="133"/>
    </row>
    <row r="135" spans="2:6" ht="14.4">
      <c r="B135" s="119">
        <v>222</v>
      </c>
      <c r="D135" s="119" t="s">
        <v>149</v>
      </c>
      <c r="E135" s="164" t="s">
        <v>377</v>
      </c>
      <c r="F135" s="133"/>
    </row>
    <row r="136" spans="2:6" ht="14.4">
      <c r="B136" s="119">
        <v>223</v>
      </c>
      <c r="D136" s="119" t="s">
        <v>236</v>
      </c>
      <c r="E136" s="164" t="s">
        <v>621</v>
      </c>
      <c r="F136" s="133"/>
    </row>
    <row r="137" spans="2:6" ht="14.4">
      <c r="B137" s="119">
        <v>224</v>
      </c>
      <c r="D137" s="119" t="s">
        <v>237</v>
      </c>
      <c r="E137" s="164" t="s">
        <v>622</v>
      </c>
      <c r="F137" s="134"/>
    </row>
    <row r="138" spans="2:6" ht="14.4">
      <c r="B138" s="119">
        <v>225</v>
      </c>
      <c r="D138" s="119" t="s">
        <v>378</v>
      </c>
      <c r="E138" s="164" t="s">
        <v>623</v>
      </c>
      <c r="F138" s="133"/>
    </row>
    <row r="139" spans="2:6" ht="14.4">
      <c r="B139" s="119">
        <v>226</v>
      </c>
      <c r="D139" s="119" t="s">
        <v>238</v>
      </c>
      <c r="E139" s="119" t="s">
        <v>624</v>
      </c>
      <c r="F139" s="133"/>
    </row>
    <row r="140" spans="2:6" ht="42.6">
      <c r="B140" s="119">
        <v>227</v>
      </c>
      <c r="D140" s="119" t="s">
        <v>379</v>
      </c>
      <c r="E140" s="164" t="s">
        <v>625</v>
      </c>
      <c r="F140" s="133"/>
    </row>
    <row r="141" spans="2:6" ht="28.8">
      <c r="B141" s="119">
        <v>228</v>
      </c>
      <c r="D141" s="119" t="s">
        <v>380</v>
      </c>
      <c r="E141" s="164" t="s">
        <v>626</v>
      </c>
      <c r="F141" s="133"/>
    </row>
    <row r="142" spans="2:6" ht="14.4">
      <c r="B142" s="119">
        <v>229</v>
      </c>
      <c r="D142" s="119" t="s">
        <v>239</v>
      </c>
      <c r="E142" s="164" t="s">
        <v>627</v>
      </c>
      <c r="F142" s="133"/>
    </row>
    <row r="143" spans="2:6" ht="28.8">
      <c r="B143" s="119">
        <v>230</v>
      </c>
      <c r="D143" s="119" t="s">
        <v>381</v>
      </c>
      <c r="E143" s="164" t="s">
        <v>628</v>
      </c>
      <c r="F143" s="133"/>
    </row>
    <row r="144" spans="2:6" ht="14.4">
      <c r="B144" s="119">
        <v>231</v>
      </c>
      <c r="D144" s="119" t="s">
        <v>382</v>
      </c>
      <c r="E144" s="164" t="s">
        <v>629</v>
      </c>
      <c r="F144" s="133"/>
    </row>
    <row r="145" spans="2:6" ht="14.4">
      <c r="B145" s="119">
        <v>232</v>
      </c>
      <c r="D145" s="119" t="s">
        <v>240</v>
      </c>
      <c r="E145" s="164" t="s">
        <v>630</v>
      </c>
      <c r="F145" s="133"/>
    </row>
    <row r="146" spans="2:6" ht="14.4">
      <c r="B146" s="119">
        <v>233</v>
      </c>
      <c r="D146" s="119" t="s">
        <v>241</v>
      </c>
      <c r="E146" s="164" t="s">
        <v>631</v>
      </c>
      <c r="F146" s="134"/>
    </row>
    <row r="147" spans="2:6" ht="14.4">
      <c r="B147" s="119">
        <v>234</v>
      </c>
      <c r="D147" s="119" t="s">
        <v>889</v>
      </c>
      <c r="E147" s="119" t="s">
        <v>632</v>
      </c>
      <c r="F147" s="133"/>
    </row>
    <row r="148" spans="2:6" ht="14.4">
      <c r="B148" s="119">
        <v>235</v>
      </c>
      <c r="D148" s="119" t="s">
        <v>890</v>
      </c>
      <c r="E148" s="119" t="s">
        <v>633</v>
      </c>
      <c r="F148" s="133"/>
    </row>
    <row r="149" spans="2:6" ht="14.4">
      <c r="B149" s="119">
        <v>236</v>
      </c>
      <c r="D149" s="119" t="s">
        <v>891</v>
      </c>
      <c r="E149" s="164" t="s">
        <v>892</v>
      </c>
      <c r="F149" s="133"/>
    </row>
    <row r="150" spans="2:6" ht="14.4">
      <c r="B150" s="119">
        <v>237</v>
      </c>
      <c r="D150" s="119" t="s">
        <v>242</v>
      </c>
      <c r="E150" s="164" t="s">
        <v>634</v>
      </c>
      <c r="F150" s="133"/>
    </row>
    <row r="151" spans="2:6" ht="27.6">
      <c r="B151" s="119">
        <v>238</v>
      </c>
      <c r="D151" s="119" t="s">
        <v>514</v>
      </c>
      <c r="F151" s="133"/>
    </row>
    <row r="152" spans="2:6" ht="14.4">
      <c r="B152" s="119">
        <v>239</v>
      </c>
      <c r="D152" s="119" t="s">
        <v>383</v>
      </c>
      <c r="E152" s="164" t="s">
        <v>635</v>
      </c>
      <c r="F152" s="133"/>
    </row>
    <row r="153" spans="2:6" ht="14.4">
      <c r="B153" s="119">
        <v>240</v>
      </c>
      <c r="D153" s="119" t="s">
        <v>243</v>
      </c>
      <c r="E153" s="164" t="s">
        <v>384</v>
      </c>
      <c r="F153" s="135"/>
    </row>
    <row r="154" spans="2:6" ht="14.4">
      <c r="B154" s="119">
        <v>241</v>
      </c>
      <c r="D154" s="119" t="s">
        <v>244</v>
      </c>
      <c r="E154" s="164" t="s">
        <v>331</v>
      </c>
      <c r="F154" s="133"/>
    </row>
    <row r="155" spans="2:6" ht="14.4">
      <c r="B155" s="119">
        <v>242</v>
      </c>
      <c r="D155" s="119" t="s">
        <v>167</v>
      </c>
      <c r="E155" s="164" t="s">
        <v>893</v>
      </c>
      <c r="F155" s="135"/>
    </row>
    <row r="156" spans="2:6" ht="14.4">
      <c r="B156" s="119">
        <v>243</v>
      </c>
      <c r="D156" s="119" t="s">
        <v>153</v>
      </c>
      <c r="E156" s="164" t="s">
        <v>636</v>
      </c>
      <c r="F156" s="133"/>
    </row>
    <row r="157" spans="2:6" ht="28.8">
      <c r="B157" s="119">
        <v>244</v>
      </c>
      <c r="D157" s="119" t="s">
        <v>385</v>
      </c>
      <c r="E157" s="164" t="s">
        <v>637</v>
      </c>
      <c r="F157" s="133"/>
    </row>
    <row r="158" spans="2:6" ht="14.4">
      <c r="B158" s="119">
        <v>245</v>
      </c>
      <c r="D158" s="119" t="s">
        <v>139</v>
      </c>
      <c r="E158" s="119" t="s">
        <v>139</v>
      </c>
      <c r="F158" s="133"/>
    </row>
    <row r="159" spans="2:6" ht="14.4">
      <c r="B159" s="119">
        <v>246</v>
      </c>
      <c r="D159" s="119" t="s">
        <v>140</v>
      </c>
      <c r="E159" s="119" t="s">
        <v>140</v>
      </c>
      <c r="F159" s="133"/>
    </row>
    <row r="160" spans="2:6" ht="14.4">
      <c r="B160" s="119">
        <v>247</v>
      </c>
      <c r="D160" s="119" t="s">
        <v>245</v>
      </c>
      <c r="E160" s="119" t="s">
        <v>182</v>
      </c>
      <c r="F160" s="133"/>
    </row>
    <row r="161" spans="2:6" ht="14.4">
      <c r="B161" s="119">
        <v>248</v>
      </c>
      <c r="D161" s="119" t="s">
        <v>183</v>
      </c>
      <c r="E161" s="119" t="s">
        <v>515</v>
      </c>
      <c r="F161" s="133"/>
    </row>
    <row r="162" spans="2:6" ht="14.4">
      <c r="B162" s="119">
        <v>249</v>
      </c>
      <c r="D162" s="119" t="s">
        <v>173</v>
      </c>
      <c r="E162" s="119" t="s">
        <v>638</v>
      </c>
      <c r="F162" s="133"/>
    </row>
    <row r="163" spans="2:6" ht="14.4">
      <c r="B163" s="119">
        <v>250</v>
      </c>
      <c r="D163" s="119" t="s">
        <v>176</v>
      </c>
      <c r="E163" s="164" t="s">
        <v>386</v>
      </c>
      <c r="F163" s="133"/>
    </row>
    <row r="164" spans="2:6" ht="14.4">
      <c r="B164" s="119">
        <v>251</v>
      </c>
      <c r="D164" s="119" t="s">
        <v>894</v>
      </c>
      <c r="E164" s="164" t="s">
        <v>387</v>
      </c>
      <c r="F164" s="133"/>
    </row>
    <row r="165" spans="2:6" ht="14.4">
      <c r="B165" s="119">
        <v>252</v>
      </c>
      <c r="D165" s="119" t="s">
        <v>310</v>
      </c>
      <c r="E165" s="164" t="s">
        <v>388</v>
      </c>
      <c r="F165" s="133"/>
    </row>
    <row r="166" spans="2:6" ht="14.4">
      <c r="B166" s="119">
        <v>253</v>
      </c>
      <c r="D166" s="119" t="s">
        <v>246</v>
      </c>
      <c r="E166" s="164" t="s">
        <v>639</v>
      </c>
      <c r="F166" s="133"/>
    </row>
    <row r="167" spans="2:6" ht="14.4">
      <c r="B167" s="119">
        <v>254</v>
      </c>
      <c r="D167" s="119" t="s">
        <v>311</v>
      </c>
      <c r="E167" s="164" t="s">
        <v>389</v>
      </c>
      <c r="F167" s="133"/>
    </row>
    <row r="168" spans="2:6" ht="14.4">
      <c r="B168" s="119">
        <v>255</v>
      </c>
      <c r="D168" s="119" t="s">
        <v>390</v>
      </c>
      <c r="E168" s="164" t="s">
        <v>640</v>
      </c>
      <c r="F168" s="133"/>
    </row>
    <row r="169" spans="2:6" ht="14.4">
      <c r="B169" s="119">
        <v>256</v>
      </c>
      <c r="D169" s="119" t="s">
        <v>247</v>
      </c>
      <c r="E169" s="164" t="s">
        <v>641</v>
      </c>
      <c r="F169" s="133"/>
    </row>
    <row r="170" spans="2:6" ht="14.4">
      <c r="B170" s="119">
        <v>257</v>
      </c>
      <c r="D170" s="119" t="s">
        <v>117</v>
      </c>
      <c r="E170" s="164" t="s">
        <v>391</v>
      </c>
      <c r="F170" s="133"/>
    </row>
    <row r="171" spans="2:6" ht="28.8">
      <c r="B171" s="119">
        <v>258</v>
      </c>
      <c r="D171" s="119" t="s">
        <v>392</v>
      </c>
      <c r="E171" s="119" t="s">
        <v>642</v>
      </c>
      <c r="F171" s="133"/>
    </row>
    <row r="172" spans="2:6" ht="28.8">
      <c r="B172" s="119">
        <v>259</v>
      </c>
      <c r="D172" s="119" t="s">
        <v>393</v>
      </c>
      <c r="E172" s="164" t="s">
        <v>643</v>
      </c>
      <c r="F172" s="133"/>
    </row>
    <row r="173" spans="2:6" ht="14.4">
      <c r="B173" s="119">
        <v>260</v>
      </c>
      <c r="D173" s="119" t="s">
        <v>116</v>
      </c>
      <c r="E173" s="164" t="s">
        <v>644</v>
      </c>
      <c r="F173" s="133"/>
    </row>
    <row r="174" spans="2:6" ht="14.4">
      <c r="B174" s="119">
        <v>261</v>
      </c>
      <c r="D174" s="119" t="s">
        <v>248</v>
      </c>
      <c r="E174" s="164" t="s">
        <v>645</v>
      </c>
      <c r="F174" s="133"/>
    </row>
    <row r="175" spans="2:6" ht="14.4">
      <c r="B175" s="119">
        <v>262</v>
      </c>
      <c r="D175" s="119" t="s">
        <v>249</v>
      </c>
      <c r="E175" s="164" t="s">
        <v>394</v>
      </c>
      <c r="F175" s="133"/>
    </row>
    <row r="176" spans="2:6" ht="57.6">
      <c r="B176" s="119">
        <v>263</v>
      </c>
      <c r="D176" s="119" t="s">
        <v>895</v>
      </c>
      <c r="E176" s="164" t="s">
        <v>523</v>
      </c>
      <c r="F176" s="133"/>
    </row>
    <row r="177" spans="2:6" ht="14.4">
      <c r="B177" s="119">
        <v>264</v>
      </c>
      <c r="D177" s="119" t="s">
        <v>250</v>
      </c>
      <c r="E177" s="164" t="s">
        <v>646</v>
      </c>
      <c r="F177" s="133"/>
    </row>
    <row r="178" spans="2:6" ht="14.4">
      <c r="B178" s="119">
        <v>265</v>
      </c>
      <c r="D178" s="119" t="s">
        <v>251</v>
      </c>
      <c r="E178" s="164" t="s">
        <v>647</v>
      </c>
      <c r="F178" s="133"/>
    </row>
    <row r="179" spans="2:6" ht="28.8">
      <c r="B179" s="119">
        <v>266</v>
      </c>
      <c r="D179" s="119" t="s">
        <v>395</v>
      </c>
      <c r="E179" s="164" t="s">
        <v>648</v>
      </c>
      <c r="F179" s="133"/>
    </row>
    <row r="180" spans="2:6" ht="14.4">
      <c r="B180" s="119">
        <v>267</v>
      </c>
      <c r="D180" s="119" t="s">
        <v>396</v>
      </c>
      <c r="E180" s="164" t="s">
        <v>397</v>
      </c>
      <c r="F180" s="133"/>
    </row>
    <row r="181" spans="2:6" ht="14.4">
      <c r="B181" s="119">
        <v>268</v>
      </c>
      <c r="D181" s="119" t="s">
        <v>896</v>
      </c>
      <c r="E181" s="164" t="s">
        <v>897</v>
      </c>
      <c r="F181" s="134"/>
    </row>
    <row r="182" spans="2:6" ht="14.4">
      <c r="B182" s="119">
        <v>269</v>
      </c>
      <c r="D182" s="119" t="s">
        <v>252</v>
      </c>
      <c r="E182" s="164" t="s">
        <v>649</v>
      </c>
      <c r="F182" s="133"/>
    </row>
    <row r="183" spans="2:6" ht="28.8">
      <c r="B183" s="119">
        <v>270</v>
      </c>
      <c r="D183" s="119" t="s">
        <v>253</v>
      </c>
      <c r="E183" s="164" t="s">
        <v>650</v>
      </c>
      <c r="F183" s="133"/>
    </row>
    <row r="184" spans="2:6" ht="14.4">
      <c r="B184" s="119">
        <v>271</v>
      </c>
      <c r="D184" s="119" t="s">
        <v>254</v>
      </c>
      <c r="E184" s="164" t="s">
        <v>651</v>
      </c>
      <c r="F184" s="133"/>
    </row>
    <row r="185" spans="2:6" ht="14.4">
      <c r="B185" s="119">
        <v>272</v>
      </c>
      <c r="D185" s="119" t="s">
        <v>255</v>
      </c>
      <c r="E185" s="164" t="s">
        <v>652</v>
      </c>
      <c r="F185" s="133"/>
    </row>
    <row r="186" spans="2:6" ht="14.4">
      <c r="B186" s="119">
        <v>273</v>
      </c>
      <c r="D186" s="119" t="s">
        <v>398</v>
      </c>
      <c r="E186" s="164" t="s">
        <v>399</v>
      </c>
      <c r="F186" s="134"/>
    </row>
    <row r="187" spans="2:6" ht="14.4">
      <c r="B187" s="119">
        <v>274</v>
      </c>
      <c r="D187" s="119" t="s">
        <v>898</v>
      </c>
      <c r="E187" s="164" t="s">
        <v>653</v>
      </c>
      <c r="F187" s="133"/>
    </row>
    <row r="188" spans="2:6" ht="14.4">
      <c r="B188" s="119">
        <v>275</v>
      </c>
      <c r="D188" s="119" t="s">
        <v>256</v>
      </c>
      <c r="E188" s="164" t="s">
        <v>654</v>
      </c>
      <c r="F188" s="133"/>
    </row>
    <row r="189" spans="2:6" ht="43.2">
      <c r="B189" s="119">
        <v>276</v>
      </c>
      <c r="D189" s="119" t="s">
        <v>655</v>
      </c>
      <c r="E189" s="164" t="s">
        <v>656</v>
      </c>
      <c r="F189" s="133"/>
    </row>
    <row r="190" spans="2:6" ht="14.4">
      <c r="B190" s="119">
        <v>277</v>
      </c>
      <c r="D190" s="119" t="s">
        <v>257</v>
      </c>
      <c r="E190" s="164" t="s">
        <v>657</v>
      </c>
      <c r="F190" s="133"/>
    </row>
    <row r="191" spans="2:6" ht="28.8">
      <c r="B191" s="119">
        <v>278</v>
      </c>
      <c r="D191" s="119" t="s">
        <v>258</v>
      </c>
      <c r="E191" s="164" t="s">
        <v>658</v>
      </c>
      <c r="F191" s="133"/>
    </row>
    <row r="192" spans="2:6" ht="14.4">
      <c r="B192" s="119">
        <v>279</v>
      </c>
      <c r="D192" s="119" t="s">
        <v>136</v>
      </c>
      <c r="E192" s="164" t="s">
        <v>400</v>
      </c>
      <c r="F192" s="133"/>
    </row>
    <row r="193" spans="2:6" ht="27.6">
      <c r="B193" s="119">
        <v>27901</v>
      </c>
      <c r="C193" s="119" t="s">
        <v>899</v>
      </c>
      <c r="D193" s="119" t="s">
        <v>900</v>
      </c>
      <c r="E193" s="164" t="s">
        <v>400</v>
      </c>
      <c r="F193" s="133"/>
    </row>
    <row r="194" spans="2:6" ht="14.4">
      <c r="B194" s="119">
        <v>280</v>
      </c>
      <c r="D194" s="119" t="s">
        <v>131</v>
      </c>
      <c r="E194" s="164" t="s">
        <v>659</v>
      </c>
      <c r="F194" s="133"/>
    </row>
    <row r="195" spans="2:6" ht="27.6">
      <c r="B195" s="119">
        <v>28001</v>
      </c>
      <c r="C195" s="119" t="s">
        <v>873</v>
      </c>
      <c r="D195" s="119" t="s">
        <v>901</v>
      </c>
      <c r="E195" s="164" t="s">
        <v>902</v>
      </c>
      <c r="F195" s="133"/>
    </row>
    <row r="196" spans="2:6" ht="14.4">
      <c r="B196" s="119">
        <v>281</v>
      </c>
      <c r="D196" s="119" t="s">
        <v>129</v>
      </c>
      <c r="E196" s="164" t="s">
        <v>660</v>
      </c>
      <c r="F196" s="133"/>
    </row>
    <row r="197" spans="2:6" ht="27.6">
      <c r="B197" s="119">
        <v>28101</v>
      </c>
      <c r="C197" s="119" t="s">
        <v>899</v>
      </c>
      <c r="D197" s="119" t="s">
        <v>903</v>
      </c>
      <c r="E197" s="164" t="s">
        <v>823</v>
      </c>
      <c r="F197" s="133"/>
    </row>
    <row r="198" spans="2:6" ht="14.4">
      <c r="B198" s="119">
        <v>282</v>
      </c>
      <c r="D198" s="119" t="s">
        <v>401</v>
      </c>
      <c r="E198" s="164" t="s">
        <v>661</v>
      </c>
      <c r="F198" s="133"/>
    </row>
    <row r="199" spans="2:6" ht="14.4">
      <c r="B199" s="119">
        <v>283</v>
      </c>
      <c r="D199" s="119" t="s">
        <v>259</v>
      </c>
      <c r="E199" s="164" t="s">
        <v>662</v>
      </c>
      <c r="F199" s="133"/>
    </row>
    <row r="200" spans="2:6" ht="14.4">
      <c r="B200" s="119">
        <v>284</v>
      </c>
      <c r="D200" s="119" t="s">
        <v>260</v>
      </c>
      <c r="E200" s="164" t="s">
        <v>663</v>
      </c>
      <c r="F200" s="133"/>
    </row>
    <row r="201" spans="2:6" ht="14.4">
      <c r="B201" s="119">
        <v>285</v>
      </c>
      <c r="D201" s="119" t="s">
        <v>261</v>
      </c>
      <c r="E201" s="164" t="s">
        <v>664</v>
      </c>
      <c r="F201" s="133"/>
    </row>
    <row r="202" spans="2:6" ht="14.4">
      <c r="B202" s="119">
        <v>286</v>
      </c>
      <c r="D202" s="119" t="s">
        <v>402</v>
      </c>
      <c r="E202" s="164" t="s">
        <v>665</v>
      </c>
      <c r="F202" s="133"/>
    </row>
    <row r="203" spans="2:6" ht="14.4">
      <c r="B203" s="119">
        <v>287</v>
      </c>
      <c r="D203" s="119" t="s">
        <v>403</v>
      </c>
      <c r="E203" s="164" t="s">
        <v>666</v>
      </c>
      <c r="F203" s="133"/>
    </row>
    <row r="204" spans="2:6" ht="14.4">
      <c r="B204" s="119">
        <v>288</v>
      </c>
      <c r="D204" s="119" t="s">
        <v>262</v>
      </c>
      <c r="E204" s="164" t="s">
        <v>404</v>
      </c>
      <c r="F204" s="133"/>
    </row>
    <row r="205" spans="2:6" ht="14.4">
      <c r="B205" s="119">
        <v>289</v>
      </c>
      <c r="D205" s="119" t="s">
        <v>151</v>
      </c>
      <c r="E205" s="164" t="s">
        <v>667</v>
      </c>
      <c r="F205" s="133"/>
    </row>
    <row r="206" spans="2:6" ht="14.4">
      <c r="B206" s="119">
        <v>290</v>
      </c>
      <c r="D206" s="119" t="s">
        <v>263</v>
      </c>
      <c r="E206" s="164" t="s">
        <v>405</v>
      </c>
      <c r="F206" s="133"/>
    </row>
    <row r="207" spans="2:6" ht="14.4">
      <c r="B207" s="119">
        <v>291</v>
      </c>
      <c r="D207" s="119" t="s">
        <v>152</v>
      </c>
      <c r="E207" s="164" t="s">
        <v>668</v>
      </c>
      <c r="F207" s="133"/>
    </row>
    <row r="208" spans="2:6" ht="14.4">
      <c r="B208" s="119">
        <v>292</v>
      </c>
      <c r="D208" s="119" t="s">
        <v>406</v>
      </c>
      <c r="E208" s="164" t="s">
        <v>407</v>
      </c>
      <c r="F208" s="133"/>
    </row>
    <row r="209" spans="2:6" ht="14.4">
      <c r="B209" s="119">
        <v>293</v>
      </c>
      <c r="D209" s="119" t="s">
        <v>335</v>
      </c>
      <c r="E209" s="164" t="s">
        <v>669</v>
      </c>
      <c r="F209" s="133"/>
    </row>
    <row r="210" spans="2:6" ht="14.4">
      <c r="B210" s="119">
        <v>294</v>
      </c>
      <c r="D210" s="119" t="s">
        <v>264</v>
      </c>
      <c r="E210" s="164" t="s">
        <v>332</v>
      </c>
      <c r="F210" s="133"/>
    </row>
    <row r="211" spans="2:6" ht="14.4">
      <c r="B211" s="119">
        <v>295</v>
      </c>
      <c r="D211" s="119" t="s">
        <v>160</v>
      </c>
      <c r="E211" s="164" t="s">
        <v>670</v>
      </c>
      <c r="F211" s="133"/>
    </row>
    <row r="212" spans="2:6" ht="14.4">
      <c r="B212" s="119">
        <v>296</v>
      </c>
      <c r="D212" s="119" t="s">
        <v>155</v>
      </c>
      <c r="E212" s="164" t="s">
        <v>408</v>
      </c>
      <c r="F212" s="133"/>
    </row>
    <row r="213" spans="2:6" ht="14.4">
      <c r="B213" s="119">
        <v>297</v>
      </c>
      <c r="D213" s="119" t="s">
        <v>409</v>
      </c>
      <c r="E213" s="164" t="s">
        <v>671</v>
      </c>
      <c r="F213" s="133"/>
    </row>
    <row r="214" spans="2:6" ht="14.4">
      <c r="B214" s="119">
        <v>298</v>
      </c>
      <c r="D214" s="119" t="s">
        <v>336</v>
      </c>
      <c r="E214" s="164" t="s">
        <v>672</v>
      </c>
      <c r="F214" s="133"/>
    </row>
    <row r="215" spans="2:6" ht="14.4">
      <c r="B215" s="119">
        <v>299</v>
      </c>
      <c r="D215" s="119" t="s">
        <v>904</v>
      </c>
      <c r="E215" s="119" t="s">
        <v>905</v>
      </c>
      <c r="F215" s="133"/>
    </row>
    <row r="216" spans="2:6" ht="14.4">
      <c r="B216" s="119">
        <v>300</v>
      </c>
      <c r="D216" s="119" t="s">
        <v>147</v>
      </c>
      <c r="E216" s="164" t="s">
        <v>410</v>
      </c>
      <c r="F216" s="133"/>
    </row>
    <row r="217" spans="2:6" ht="43.2">
      <c r="B217" s="119">
        <v>301</v>
      </c>
      <c r="D217" s="119" t="s">
        <v>411</v>
      </c>
      <c r="E217" s="164" t="s">
        <v>673</v>
      </c>
      <c r="F217" s="133"/>
    </row>
    <row r="218" spans="2:6" ht="14.4">
      <c r="B218" s="119">
        <v>302</v>
      </c>
      <c r="D218" s="119" t="s">
        <v>154</v>
      </c>
      <c r="E218" s="164" t="s">
        <v>674</v>
      </c>
      <c r="F218" s="133"/>
    </row>
    <row r="219" spans="2:6" ht="28.8">
      <c r="B219" s="119">
        <v>303</v>
      </c>
      <c r="D219" s="119" t="s">
        <v>265</v>
      </c>
      <c r="E219" s="164" t="s">
        <v>675</v>
      </c>
      <c r="F219" s="133"/>
    </row>
    <row r="220" spans="2:6" ht="14.4">
      <c r="B220" s="119">
        <v>304</v>
      </c>
      <c r="D220" s="119" t="s">
        <v>120</v>
      </c>
      <c r="E220" s="164" t="s">
        <v>412</v>
      </c>
      <c r="F220" s="134"/>
    </row>
    <row r="221" spans="2:6" ht="14.4">
      <c r="B221" s="119">
        <v>305</v>
      </c>
      <c r="D221" s="119" t="s">
        <v>266</v>
      </c>
      <c r="E221" s="164" t="s">
        <v>676</v>
      </c>
      <c r="F221" s="133"/>
    </row>
    <row r="222" spans="2:6" ht="14.4">
      <c r="B222" s="119">
        <v>306</v>
      </c>
      <c r="D222" s="119" t="s">
        <v>174</v>
      </c>
      <c r="E222" s="164" t="s">
        <v>413</v>
      </c>
      <c r="F222" s="133"/>
    </row>
    <row r="223" spans="2:6" ht="14.4">
      <c r="B223" s="119">
        <v>307</v>
      </c>
      <c r="D223" s="119" t="s">
        <v>159</v>
      </c>
      <c r="E223" s="164" t="s">
        <v>414</v>
      </c>
      <c r="F223" s="133"/>
    </row>
    <row r="224" spans="2:6" ht="14.4">
      <c r="B224" s="119">
        <v>308</v>
      </c>
      <c r="D224" s="119" t="s">
        <v>166</v>
      </c>
      <c r="E224" s="164" t="s">
        <v>906</v>
      </c>
      <c r="F224" s="133"/>
    </row>
    <row r="225" spans="2:6" ht="14.4">
      <c r="B225" s="119">
        <v>309</v>
      </c>
      <c r="D225" s="119" t="s">
        <v>267</v>
      </c>
      <c r="E225" s="164" t="s">
        <v>677</v>
      </c>
      <c r="F225" s="133"/>
    </row>
    <row r="226" spans="2:6" ht="14.4">
      <c r="B226" s="119">
        <v>310</v>
      </c>
      <c r="D226" s="119" t="s">
        <v>268</v>
      </c>
      <c r="E226" s="164" t="s">
        <v>678</v>
      </c>
      <c r="F226" s="133"/>
    </row>
    <row r="227" spans="2:6" ht="14.4">
      <c r="B227" s="119">
        <v>311</v>
      </c>
      <c r="D227" s="119" t="s">
        <v>415</v>
      </c>
      <c r="E227" s="164" t="s">
        <v>679</v>
      </c>
      <c r="F227" s="133"/>
    </row>
    <row r="228" spans="2:6" ht="14.4">
      <c r="B228" s="119">
        <v>312</v>
      </c>
      <c r="D228" s="119" t="s">
        <v>416</v>
      </c>
      <c r="F228" s="133"/>
    </row>
    <row r="229" spans="2:6" ht="14.4">
      <c r="B229" s="119">
        <v>313</v>
      </c>
      <c r="D229" s="119" t="s">
        <v>907</v>
      </c>
      <c r="E229" s="164" t="s">
        <v>680</v>
      </c>
      <c r="F229" s="135"/>
    </row>
    <row r="230" spans="2:6" ht="14.4">
      <c r="B230" s="119">
        <v>314</v>
      </c>
      <c r="D230" s="119" t="s">
        <v>908</v>
      </c>
      <c r="E230" s="164" t="s">
        <v>681</v>
      </c>
      <c r="F230" s="133"/>
    </row>
    <row r="231" spans="2:6" ht="14.4">
      <c r="B231" s="119">
        <v>315</v>
      </c>
      <c r="D231" s="119" t="s">
        <v>909</v>
      </c>
      <c r="E231" s="164" t="s">
        <v>682</v>
      </c>
      <c r="F231" s="133"/>
    </row>
    <row r="232" spans="2:6" ht="28.8">
      <c r="B232" s="119">
        <v>316</v>
      </c>
      <c r="D232" s="119" t="s">
        <v>683</v>
      </c>
      <c r="E232" s="164" t="s">
        <v>684</v>
      </c>
      <c r="F232" s="133"/>
    </row>
    <row r="233" spans="2:6" ht="159" customHeight="1">
      <c r="B233" s="119">
        <v>317</v>
      </c>
      <c r="D233" s="119" t="s">
        <v>269</v>
      </c>
      <c r="E233" s="164" t="s">
        <v>685</v>
      </c>
      <c r="F233" s="133"/>
    </row>
    <row r="234" spans="2:6" ht="14.4">
      <c r="B234" s="119">
        <v>318</v>
      </c>
      <c r="D234" s="119" t="s">
        <v>270</v>
      </c>
      <c r="E234" s="164" t="s">
        <v>686</v>
      </c>
      <c r="F234" s="133"/>
    </row>
    <row r="235" spans="2:6" ht="14.4">
      <c r="B235" s="119">
        <v>319</v>
      </c>
      <c r="D235" s="119" t="s">
        <v>910</v>
      </c>
      <c r="E235" s="164" t="s">
        <v>911</v>
      </c>
      <c r="F235" s="133"/>
    </row>
    <row r="236" spans="2:6" ht="14.4">
      <c r="B236" s="119">
        <v>320</v>
      </c>
      <c r="D236" s="119" t="s">
        <v>146</v>
      </c>
      <c r="E236" s="164" t="s">
        <v>417</v>
      </c>
      <c r="F236" s="133"/>
    </row>
    <row r="237" spans="2:6" ht="14.4">
      <c r="B237" s="119">
        <v>321</v>
      </c>
      <c r="D237" s="119" t="s">
        <v>271</v>
      </c>
      <c r="E237" s="164" t="s">
        <v>418</v>
      </c>
      <c r="F237" s="133"/>
    </row>
    <row r="238" spans="2:6" ht="14.4">
      <c r="B238" s="119">
        <v>322</v>
      </c>
      <c r="D238" s="119" t="s">
        <v>272</v>
      </c>
      <c r="E238" s="164" t="s">
        <v>687</v>
      </c>
      <c r="F238" s="133"/>
    </row>
    <row r="239" spans="2:6" ht="14.4">
      <c r="B239" s="119">
        <v>323</v>
      </c>
      <c r="D239" s="119" t="s">
        <v>273</v>
      </c>
      <c r="E239" s="164" t="s">
        <v>688</v>
      </c>
      <c r="F239" s="133"/>
    </row>
    <row r="240" spans="2:6" ht="14.4">
      <c r="B240" s="119">
        <v>324</v>
      </c>
      <c r="D240" s="119" t="s">
        <v>274</v>
      </c>
      <c r="E240" s="164" t="s">
        <v>419</v>
      </c>
      <c r="F240" s="133"/>
    </row>
    <row r="241" spans="2:6" ht="14.4">
      <c r="B241" s="119">
        <v>325</v>
      </c>
      <c r="D241" s="119" t="s">
        <v>420</v>
      </c>
      <c r="E241" s="164" t="s">
        <v>689</v>
      </c>
      <c r="F241" s="133"/>
    </row>
    <row r="242" spans="2:6" ht="14.4">
      <c r="B242" s="119">
        <v>326</v>
      </c>
      <c r="D242" s="119" t="s">
        <v>126</v>
      </c>
      <c r="E242" s="164" t="s">
        <v>421</v>
      </c>
      <c r="F242" s="133"/>
    </row>
    <row r="243" spans="2:6" ht="14.4">
      <c r="B243" s="119">
        <v>327</v>
      </c>
      <c r="D243" s="119" t="s">
        <v>156</v>
      </c>
      <c r="E243" s="164" t="s">
        <v>422</v>
      </c>
      <c r="F243" s="133"/>
    </row>
    <row r="244" spans="2:6" ht="28.8">
      <c r="B244" s="119">
        <v>328</v>
      </c>
      <c r="D244" s="119" t="s">
        <v>423</v>
      </c>
      <c r="E244" s="164" t="s">
        <v>690</v>
      </c>
      <c r="F244" s="133"/>
    </row>
    <row r="245" spans="2:6" ht="14.4">
      <c r="B245" s="119">
        <v>329</v>
      </c>
      <c r="D245" s="119" t="s">
        <v>275</v>
      </c>
      <c r="E245" s="164" t="s">
        <v>691</v>
      </c>
      <c r="F245" s="133"/>
    </row>
    <row r="246" spans="2:6" ht="28.8">
      <c r="B246" s="119">
        <v>330</v>
      </c>
      <c r="D246" s="119" t="s">
        <v>424</v>
      </c>
      <c r="E246" s="164" t="s">
        <v>692</v>
      </c>
      <c r="F246" s="133"/>
    </row>
    <row r="247" spans="2:6" ht="14.4">
      <c r="B247" s="119">
        <v>331</v>
      </c>
      <c r="D247" s="119" t="s">
        <v>276</v>
      </c>
      <c r="E247" s="164" t="s">
        <v>693</v>
      </c>
      <c r="F247" s="133"/>
    </row>
    <row r="248" spans="2:6" ht="14.4">
      <c r="B248" s="119">
        <v>332</v>
      </c>
      <c r="D248" s="119" t="s">
        <v>175</v>
      </c>
      <c r="E248" s="164" t="s">
        <v>425</v>
      </c>
      <c r="F248" s="133"/>
    </row>
    <row r="249" spans="2:6" ht="14.4">
      <c r="B249" s="119">
        <v>333</v>
      </c>
      <c r="D249" s="119" t="s">
        <v>114</v>
      </c>
      <c r="E249" s="164" t="s">
        <v>426</v>
      </c>
      <c r="F249" s="133"/>
    </row>
    <row r="250" spans="2:6" ht="14.4">
      <c r="B250" s="119">
        <v>334</v>
      </c>
      <c r="D250" s="119" t="s">
        <v>427</v>
      </c>
      <c r="E250" s="164" t="s">
        <v>694</v>
      </c>
      <c r="F250" s="133"/>
    </row>
    <row r="251" spans="2:6" ht="14.4">
      <c r="B251" s="119">
        <v>335</v>
      </c>
      <c r="D251" s="119" t="s">
        <v>277</v>
      </c>
      <c r="E251" s="164" t="s">
        <v>428</v>
      </c>
      <c r="F251" s="133"/>
    </row>
    <row r="252" spans="2:6" ht="14.4">
      <c r="B252" s="119">
        <v>336</v>
      </c>
      <c r="D252" s="119" t="s">
        <v>163</v>
      </c>
      <c r="E252" s="164" t="s">
        <v>695</v>
      </c>
      <c r="F252" s="133"/>
    </row>
    <row r="253" spans="2:6" ht="72">
      <c r="B253" s="119">
        <v>337</v>
      </c>
      <c r="D253" s="119" t="s">
        <v>278</v>
      </c>
      <c r="E253" s="164" t="s">
        <v>696</v>
      </c>
      <c r="F253" s="133"/>
    </row>
    <row r="254" spans="2:6" ht="14.4">
      <c r="B254" s="119">
        <v>338</v>
      </c>
      <c r="D254" s="119" t="s">
        <v>279</v>
      </c>
      <c r="E254" s="119" t="s">
        <v>697</v>
      </c>
      <c r="F254" s="133"/>
    </row>
    <row r="255" spans="2:6" ht="28.8">
      <c r="B255" s="119">
        <v>339</v>
      </c>
      <c r="D255" s="119" t="s">
        <v>429</v>
      </c>
      <c r="E255" s="164" t="s">
        <v>698</v>
      </c>
      <c r="F255" s="133"/>
    </row>
    <row r="256" spans="2:6" ht="14.4">
      <c r="B256" s="119">
        <v>340</v>
      </c>
      <c r="D256" s="119" t="s">
        <v>430</v>
      </c>
      <c r="E256" s="119" t="s">
        <v>699</v>
      </c>
      <c r="F256" s="133"/>
    </row>
    <row r="257" spans="2:8" ht="27.6">
      <c r="B257" s="119">
        <v>341</v>
      </c>
      <c r="D257" s="119" t="s">
        <v>431</v>
      </c>
      <c r="E257" s="119" t="s">
        <v>700</v>
      </c>
      <c r="F257" s="133"/>
    </row>
    <row r="258" spans="2:8" ht="28.8">
      <c r="B258" s="119">
        <v>342</v>
      </c>
      <c r="D258" s="119" t="s">
        <v>432</v>
      </c>
      <c r="E258" s="164" t="s">
        <v>701</v>
      </c>
      <c r="F258" s="133"/>
    </row>
    <row r="259" spans="2:8" ht="28.8">
      <c r="B259" s="119">
        <v>343</v>
      </c>
      <c r="D259" s="119" t="s">
        <v>433</v>
      </c>
      <c r="E259" s="164" t="s">
        <v>702</v>
      </c>
      <c r="F259" s="133"/>
    </row>
    <row r="260" spans="2:8" ht="28.8">
      <c r="B260" s="119">
        <v>344</v>
      </c>
      <c r="D260" s="119" t="s">
        <v>434</v>
      </c>
      <c r="E260" s="164" t="s">
        <v>703</v>
      </c>
      <c r="F260" s="133"/>
    </row>
    <row r="261" spans="2:8" ht="28.8">
      <c r="B261" s="119">
        <v>345</v>
      </c>
      <c r="D261" s="119" t="s">
        <v>435</v>
      </c>
      <c r="E261" s="164" t="s">
        <v>704</v>
      </c>
      <c r="F261" s="133"/>
    </row>
    <row r="262" spans="2:8" ht="28.8">
      <c r="B262" s="119">
        <v>346</v>
      </c>
      <c r="D262" s="119" t="s">
        <v>436</v>
      </c>
      <c r="E262" s="119" t="s">
        <v>705</v>
      </c>
      <c r="F262" s="133"/>
    </row>
    <row r="263" spans="2:8" ht="28.8">
      <c r="B263" s="119">
        <v>347</v>
      </c>
      <c r="D263" s="119" t="s">
        <v>437</v>
      </c>
      <c r="E263" s="164" t="s">
        <v>706</v>
      </c>
      <c r="F263" s="133"/>
    </row>
    <row r="264" spans="2:8" ht="28.8">
      <c r="B264" s="119">
        <v>348</v>
      </c>
      <c r="D264" s="119" t="s">
        <v>438</v>
      </c>
      <c r="E264" s="164" t="s">
        <v>707</v>
      </c>
      <c r="F264" s="133"/>
    </row>
    <row r="265" spans="2:8" ht="27.6">
      <c r="B265" s="119">
        <v>349</v>
      </c>
      <c r="D265" s="119" t="s">
        <v>439</v>
      </c>
      <c r="E265" s="164" t="s">
        <v>708</v>
      </c>
      <c r="F265" s="133"/>
    </row>
    <row r="266" spans="2:8" ht="28.8">
      <c r="B266" s="119">
        <v>350</v>
      </c>
      <c r="D266" s="119" t="s">
        <v>440</v>
      </c>
      <c r="E266" s="164" t="s">
        <v>709</v>
      </c>
      <c r="F266" s="133"/>
    </row>
    <row r="267" spans="2:8" ht="28.8">
      <c r="B267" s="119">
        <v>351</v>
      </c>
      <c r="D267" s="119" t="s">
        <v>441</v>
      </c>
      <c r="E267" s="164" t="s">
        <v>710</v>
      </c>
      <c r="F267" s="133"/>
    </row>
    <row r="268" spans="2:8" ht="28.8">
      <c r="B268" s="119">
        <v>352</v>
      </c>
      <c r="D268" s="119" t="s">
        <v>442</v>
      </c>
      <c r="E268" s="164" t="s">
        <v>711</v>
      </c>
      <c r="F268" s="133"/>
      <c r="G268" s="121"/>
      <c r="H268" s="121"/>
    </row>
    <row r="269" spans="2:8" ht="27.6">
      <c r="B269" s="119">
        <v>353</v>
      </c>
      <c r="D269" s="119" t="s">
        <v>443</v>
      </c>
      <c r="E269" s="164" t="s">
        <v>712</v>
      </c>
      <c r="F269" s="133"/>
    </row>
    <row r="270" spans="2:8" ht="28.8">
      <c r="B270" s="119">
        <v>354</v>
      </c>
      <c r="D270" s="119" t="s">
        <v>444</v>
      </c>
      <c r="E270" s="164" t="s">
        <v>713</v>
      </c>
      <c r="F270" s="133"/>
    </row>
    <row r="271" spans="2:8" ht="27.6">
      <c r="B271" s="119">
        <v>355</v>
      </c>
      <c r="D271" s="119" t="s">
        <v>445</v>
      </c>
      <c r="E271" s="164" t="s">
        <v>714</v>
      </c>
      <c r="F271" s="133"/>
    </row>
    <row r="272" spans="2:8" ht="28.8">
      <c r="B272" s="119">
        <v>356</v>
      </c>
      <c r="D272" s="119" t="s">
        <v>446</v>
      </c>
      <c r="E272" s="164" t="s">
        <v>715</v>
      </c>
      <c r="F272" s="133"/>
    </row>
    <row r="273" spans="2:6" ht="28.8">
      <c r="B273" s="119">
        <v>357</v>
      </c>
      <c r="D273" s="119" t="s">
        <v>447</v>
      </c>
      <c r="E273" s="164" t="s">
        <v>716</v>
      </c>
      <c r="F273" s="133"/>
    </row>
    <row r="274" spans="2:6" ht="28.8">
      <c r="B274" s="119">
        <v>358</v>
      </c>
      <c r="D274" s="119" t="s">
        <v>448</v>
      </c>
      <c r="E274" s="119" t="s">
        <v>717</v>
      </c>
      <c r="F274" s="133"/>
    </row>
    <row r="275" spans="2:6" ht="27.6">
      <c r="B275" s="119">
        <v>359</v>
      </c>
      <c r="D275" s="119" t="s">
        <v>449</v>
      </c>
      <c r="E275" s="119" t="s">
        <v>718</v>
      </c>
      <c r="F275" s="133"/>
    </row>
    <row r="276" spans="2:6" ht="28.8">
      <c r="B276" s="119">
        <v>360</v>
      </c>
      <c r="D276" s="119" t="s">
        <v>450</v>
      </c>
      <c r="E276" s="164" t="s">
        <v>719</v>
      </c>
      <c r="F276" s="133"/>
    </row>
    <row r="277" spans="2:6" ht="28.8">
      <c r="B277" s="119">
        <v>361</v>
      </c>
      <c r="D277" s="119" t="s">
        <v>912</v>
      </c>
      <c r="E277" s="119" t="s">
        <v>720</v>
      </c>
      <c r="F277" s="133"/>
    </row>
    <row r="278" spans="2:6" ht="28.8">
      <c r="B278" s="119">
        <v>362</v>
      </c>
      <c r="D278" s="119" t="s">
        <v>912</v>
      </c>
      <c r="E278" s="119" t="s">
        <v>720</v>
      </c>
      <c r="F278" s="133"/>
    </row>
    <row r="279" spans="2:6" ht="28.8">
      <c r="B279" s="119">
        <v>363</v>
      </c>
      <c r="D279" s="119" t="s">
        <v>451</v>
      </c>
      <c r="E279" s="119" t="s">
        <v>721</v>
      </c>
      <c r="F279" s="133"/>
    </row>
    <row r="280" spans="2:6" ht="28.8">
      <c r="B280" s="119">
        <v>364</v>
      </c>
      <c r="D280" s="119" t="s">
        <v>452</v>
      </c>
      <c r="E280" s="119" t="s">
        <v>722</v>
      </c>
      <c r="F280" s="133"/>
    </row>
    <row r="281" spans="2:6" ht="28.8">
      <c r="B281" s="119">
        <v>365</v>
      </c>
      <c r="D281" s="119" t="s">
        <v>453</v>
      </c>
      <c r="E281" s="119" t="s">
        <v>723</v>
      </c>
      <c r="F281" s="133"/>
    </row>
    <row r="282" spans="2:6" ht="27.6">
      <c r="B282" s="119">
        <v>366</v>
      </c>
      <c r="D282" s="119" t="s">
        <v>454</v>
      </c>
      <c r="E282" s="119" t="s">
        <v>724</v>
      </c>
      <c r="F282" s="133"/>
    </row>
    <row r="283" spans="2:6" ht="14.4">
      <c r="B283" s="119">
        <v>367</v>
      </c>
      <c r="D283" s="119" t="s">
        <v>280</v>
      </c>
      <c r="E283" s="119" t="s">
        <v>725</v>
      </c>
      <c r="F283" s="133"/>
    </row>
    <row r="284" spans="2:6" ht="28.8">
      <c r="B284" s="119">
        <v>368</v>
      </c>
      <c r="D284" s="119" t="s">
        <v>455</v>
      </c>
      <c r="E284" s="119" t="s">
        <v>726</v>
      </c>
      <c r="F284" s="133"/>
    </row>
    <row r="285" spans="2:6" ht="14.4">
      <c r="B285" s="119">
        <v>369</v>
      </c>
      <c r="D285" s="119" t="s">
        <v>316</v>
      </c>
      <c r="E285" s="164" t="s">
        <v>727</v>
      </c>
      <c r="F285" s="133"/>
    </row>
    <row r="286" spans="2:6" ht="57.6">
      <c r="B286" s="119">
        <v>370</v>
      </c>
      <c r="D286" s="119" t="s">
        <v>456</v>
      </c>
      <c r="E286" s="164" t="s">
        <v>728</v>
      </c>
      <c r="F286" s="133"/>
    </row>
    <row r="287" spans="2:6" ht="28.8">
      <c r="B287" s="119">
        <v>371</v>
      </c>
      <c r="D287" s="119" t="s">
        <v>281</v>
      </c>
      <c r="E287" s="119" t="s">
        <v>729</v>
      </c>
      <c r="F287" s="133"/>
    </row>
    <row r="288" spans="2:6" ht="28.8">
      <c r="B288" s="119">
        <v>372</v>
      </c>
      <c r="D288" s="119" t="s">
        <v>457</v>
      </c>
      <c r="E288" s="119" t="s">
        <v>730</v>
      </c>
      <c r="F288" s="133"/>
    </row>
    <row r="289" spans="2:6" ht="28.8">
      <c r="B289" s="119">
        <v>373</v>
      </c>
      <c r="D289" s="119" t="s">
        <v>458</v>
      </c>
      <c r="E289" s="119" t="s">
        <v>731</v>
      </c>
      <c r="F289" s="133"/>
    </row>
    <row r="290" spans="2:6" ht="28.8">
      <c r="B290" s="119">
        <v>374</v>
      </c>
      <c r="D290" s="119" t="s">
        <v>459</v>
      </c>
      <c r="E290" s="164" t="s">
        <v>732</v>
      </c>
      <c r="F290" s="133"/>
    </row>
    <row r="291" spans="2:6" ht="28.8">
      <c r="B291" s="119">
        <v>375</v>
      </c>
      <c r="D291" s="119" t="s">
        <v>282</v>
      </c>
      <c r="E291" s="164" t="s">
        <v>733</v>
      </c>
      <c r="F291" s="133"/>
    </row>
    <row r="292" spans="2:6" ht="14.4">
      <c r="B292" s="119">
        <v>376</v>
      </c>
      <c r="D292" s="119" t="s">
        <v>283</v>
      </c>
      <c r="E292" s="164" t="s">
        <v>734</v>
      </c>
      <c r="F292" s="133"/>
    </row>
    <row r="293" spans="2:6" ht="14.4">
      <c r="B293" s="119">
        <v>377</v>
      </c>
      <c r="D293" s="119" t="s">
        <v>317</v>
      </c>
      <c r="E293" s="164" t="s">
        <v>735</v>
      </c>
      <c r="F293" s="131"/>
    </row>
    <row r="294" spans="2:6" ht="27.6">
      <c r="B294" s="119">
        <v>378</v>
      </c>
      <c r="D294" s="119" t="s">
        <v>460</v>
      </c>
      <c r="E294" s="164" t="s">
        <v>736</v>
      </c>
      <c r="F294" s="133"/>
    </row>
    <row r="295" spans="2:6" ht="14.4">
      <c r="B295" s="119">
        <v>379</v>
      </c>
      <c r="D295" s="119" t="s">
        <v>284</v>
      </c>
      <c r="E295" s="164" t="s">
        <v>737</v>
      </c>
      <c r="F295" s="133"/>
    </row>
    <row r="296" spans="2:6" ht="14.4">
      <c r="B296" s="119">
        <v>380</v>
      </c>
      <c r="D296" s="119" t="s">
        <v>285</v>
      </c>
      <c r="E296" s="164" t="s">
        <v>738</v>
      </c>
      <c r="F296" s="133"/>
    </row>
    <row r="297" spans="2:6" ht="14.4">
      <c r="B297" s="119">
        <v>381</v>
      </c>
      <c r="D297" s="119" t="s">
        <v>286</v>
      </c>
      <c r="E297" s="164" t="s">
        <v>739</v>
      </c>
      <c r="F297" s="133"/>
    </row>
    <row r="298" spans="2:6" ht="28.8">
      <c r="B298" s="119">
        <v>382</v>
      </c>
      <c r="D298" s="119" t="s">
        <v>461</v>
      </c>
      <c r="E298" s="164" t="s">
        <v>740</v>
      </c>
      <c r="F298" s="133"/>
    </row>
    <row r="299" spans="2:6" ht="57.6">
      <c r="B299" s="119">
        <v>383</v>
      </c>
      <c r="D299" s="119" t="s">
        <v>913</v>
      </c>
      <c r="E299" s="119" t="s">
        <v>914</v>
      </c>
      <c r="F299" s="133"/>
    </row>
    <row r="300" spans="2:6" ht="57.6">
      <c r="B300" s="119">
        <v>384</v>
      </c>
      <c r="D300" s="119" t="s">
        <v>462</v>
      </c>
      <c r="E300" s="164" t="s">
        <v>741</v>
      </c>
      <c r="F300" s="133"/>
    </row>
    <row r="301" spans="2:6" ht="14.4">
      <c r="B301" s="119">
        <v>385</v>
      </c>
      <c r="D301" s="119" t="s">
        <v>172</v>
      </c>
      <c r="E301" s="164" t="s">
        <v>742</v>
      </c>
      <c r="F301" s="133"/>
    </row>
    <row r="302" spans="2:6" ht="28.8">
      <c r="B302" s="119">
        <v>386</v>
      </c>
      <c r="D302" s="119" t="s">
        <v>463</v>
      </c>
      <c r="E302" s="119" t="s">
        <v>743</v>
      </c>
      <c r="F302" s="133"/>
    </row>
    <row r="303" spans="2:6" ht="14.4">
      <c r="B303" s="119">
        <v>387</v>
      </c>
      <c r="D303" s="119" t="s">
        <v>287</v>
      </c>
      <c r="E303" s="119" t="s">
        <v>744</v>
      </c>
      <c r="F303" s="133"/>
    </row>
    <row r="304" spans="2:6" ht="14.4">
      <c r="B304" s="119">
        <v>388</v>
      </c>
      <c r="D304" s="119" t="s">
        <v>288</v>
      </c>
      <c r="E304" s="119" t="s">
        <v>745</v>
      </c>
      <c r="F304" s="133"/>
    </row>
    <row r="305" spans="2:6" ht="28.8">
      <c r="B305" s="119">
        <v>389</v>
      </c>
      <c r="D305" s="119" t="s">
        <v>464</v>
      </c>
      <c r="E305" s="119" t="s">
        <v>746</v>
      </c>
      <c r="F305" s="133"/>
    </row>
    <row r="306" spans="2:6" ht="14.4">
      <c r="B306" s="119">
        <v>390</v>
      </c>
      <c r="D306" s="119" t="s">
        <v>465</v>
      </c>
      <c r="E306" s="119" t="s">
        <v>747</v>
      </c>
      <c r="F306" s="133"/>
    </row>
    <row r="307" spans="2:6" ht="14.4">
      <c r="B307" s="119">
        <v>391</v>
      </c>
      <c r="D307" s="119" t="s">
        <v>124</v>
      </c>
      <c r="E307" s="164" t="s">
        <v>748</v>
      </c>
      <c r="F307" s="133"/>
    </row>
    <row r="308" spans="2:6" ht="14.4">
      <c r="B308" s="119">
        <v>392</v>
      </c>
      <c r="D308" s="119" t="s">
        <v>125</v>
      </c>
      <c r="E308" s="164" t="s">
        <v>749</v>
      </c>
      <c r="F308" s="133"/>
    </row>
    <row r="309" spans="2:6" ht="28.8">
      <c r="B309" s="119">
        <v>393</v>
      </c>
      <c r="D309" s="119" t="s">
        <v>289</v>
      </c>
      <c r="E309" s="119" t="s">
        <v>750</v>
      </c>
      <c r="F309" s="133"/>
    </row>
    <row r="310" spans="2:6" ht="28.8">
      <c r="B310" s="119">
        <v>394</v>
      </c>
      <c r="D310" s="119" t="s">
        <v>466</v>
      </c>
      <c r="E310" s="119" t="s">
        <v>751</v>
      </c>
      <c r="F310" s="133"/>
    </row>
    <row r="311" spans="2:6" ht="14.4">
      <c r="B311" s="119">
        <v>395</v>
      </c>
      <c r="D311" s="119" t="s">
        <v>467</v>
      </c>
      <c r="E311" s="119" t="s">
        <v>752</v>
      </c>
      <c r="F311" s="133"/>
    </row>
    <row r="312" spans="2:6" ht="27.6">
      <c r="B312" s="119">
        <v>396</v>
      </c>
      <c r="D312" s="119" t="s">
        <v>468</v>
      </c>
      <c r="E312" s="119" t="s">
        <v>753</v>
      </c>
      <c r="F312" s="133"/>
    </row>
    <row r="313" spans="2:6" ht="28.8">
      <c r="B313" s="119">
        <v>397</v>
      </c>
      <c r="D313" s="119" t="s">
        <v>469</v>
      </c>
      <c r="E313" s="119" t="s">
        <v>754</v>
      </c>
      <c r="F313" s="133"/>
    </row>
    <row r="314" spans="2:6" ht="14.4">
      <c r="B314" s="119">
        <v>398</v>
      </c>
      <c r="D314" s="119" t="s">
        <v>290</v>
      </c>
      <c r="E314" s="119" t="s">
        <v>755</v>
      </c>
      <c r="F314" s="133"/>
    </row>
    <row r="315" spans="2:6" ht="14.4">
      <c r="B315" s="119">
        <v>399</v>
      </c>
      <c r="D315" s="119" t="s">
        <v>291</v>
      </c>
      <c r="E315" s="119" t="s">
        <v>756</v>
      </c>
      <c r="F315" s="133"/>
    </row>
    <row r="316" spans="2:6" ht="14.4">
      <c r="B316" s="119">
        <v>400</v>
      </c>
      <c r="D316" s="119" t="s">
        <v>470</v>
      </c>
      <c r="E316" s="119" t="s">
        <v>757</v>
      </c>
      <c r="F316" s="133"/>
    </row>
    <row r="317" spans="2:6" ht="14.4">
      <c r="B317" s="119">
        <v>401</v>
      </c>
      <c r="D317" s="119" t="s">
        <v>471</v>
      </c>
      <c r="E317" s="164" t="s">
        <v>758</v>
      </c>
      <c r="F317" s="133"/>
    </row>
    <row r="318" spans="2:6" ht="14.4">
      <c r="B318" s="119">
        <v>402</v>
      </c>
      <c r="D318" s="119" t="s">
        <v>292</v>
      </c>
      <c r="E318" s="164" t="s">
        <v>759</v>
      </c>
      <c r="F318" s="133"/>
    </row>
    <row r="319" spans="2:6" ht="14.4">
      <c r="B319" s="119">
        <v>403</v>
      </c>
      <c r="D319" s="119" t="s">
        <v>123</v>
      </c>
      <c r="E319" s="164" t="s">
        <v>760</v>
      </c>
      <c r="F319" s="133"/>
    </row>
    <row r="320" spans="2:6" ht="14.4">
      <c r="B320" s="119">
        <v>404</v>
      </c>
      <c r="D320" s="119" t="s">
        <v>472</v>
      </c>
      <c r="E320" s="164" t="s">
        <v>761</v>
      </c>
      <c r="F320" s="133"/>
    </row>
    <row r="321" spans="2:6" ht="14.4">
      <c r="B321" s="119">
        <v>405</v>
      </c>
      <c r="D321" s="119" t="s">
        <v>473</v>
      </c>
      <c r="E321" s="164" t="s">
        <v>762</v>
      </c>
      <c r="F321" s="133"/>
    </row>
    <row r="322" spans="2:6" ht="14.4">
      <c r="B322" s="119">
        <v>406</v>
      </c>
      <c r="D322" s="119" t="s">
        <v>309</v>
      </c>
      <c r="E322" s="164" t="s">
        <v>763</v>
      </c>
      <c r="F322" s="133"/>
    </row>
    <row r="323" spans="2:6" ht="43.2">
      <c r="B323" s="119">
        <v>407</v>
      </c>
      <c r="D323" s="119" t="s">
        <v>474</v>
      </c>
      <c r="E323" s="164" t="s">
        <v>764</v>
      </c>
      <c r="F323" s="133"/>
    </row>
    <row r="324" spans="2:6" ht="28.8">
      <c r="B324" s="119">
        <v>408</v>
      </c>
      <c r="D324" s="119" t="s">
        <v>475</v>
      </c>
      <c r="E324" s="164" t="s">
        <v>765</v>
      </c>
      <c r="F324" s="133"/>
    </row>
    <row r="325" spans="2:6" ht="14.4">
      <c r="B325" s="119">
        <v>409</v>
      </c>
      <c r="D325" s="119" t="s">
        <v>476</v>
      </c>
      <c r="E325" s="164" t="s">
        <v>766</v>
      </c>
      <c r="F325" s="133"/>
    </row>
    <row r="326" spans="2:6" ht="14.4">
      <c r="B326" s="119">
        <v>410</v>
      </c>
      <c r="D326" s="119" t="s">
        <v>477</v>
      </c>
      <c r="E326" s="164" t="s">
        <v>767</v>
      </c>
      <c r="F326" s="133"/>
    </row>
    <row r="327" spans="2:6" ht="14.4">
      <c r="B327" s="119">
        <v>411</v>
      </c>
      <c r="D327" s="119" t="s">
        <v>179</v>
      </c>
      <c r="E327" s="164" t="s">
        <v>478</v>
      </c>
      <c r="F327" s="133"/>
    </row>
    <row r="328" spans="2:6" ht="14.4">
      <c r="B328" s="119">
        <v>412</v>
      </c>
      <c r="D328" s="119" t="s">
        <v>479</v>
      </c>
      <c r="E328" s="119" t="s">
        <v>768</v>
      </c>
      <c r="F328" s="133"/>
    </row>
    <row r="329" spans="2:6" ht="14.4">
      <c r="B329" s="119">
        <v>413</v>
      </c>
      <c r="D329" s="119" t="s">
        <v>293</v>
      </c>
      <c r="E329" s="119" t="s">
        <v>769</v>
      </c>
      <c r="F329" s="134"/>
    </row>
    <row r="330" spans="2:6" ht="57.6">
      <c r="B330" s="119">
        <v>414</v>
      </c>
      <c r="D330" s="119" t="s">
        <v>915</v>
      </c>
      <c r="E330" s="119" t="s">
        <v>770</v>
      </c>
      <c r="F330" s="133"/>
    </row>
    <row r="331" spans="2:6" ht="14.4">
      <c r="B331" s="119">
        <v>415</v>
      </c>
      <c r="D331" s="119" t="s">
        <v>181</v>
      </c>
      <c r="E331" s="164" t="s">
        <v>480</v>
      </c>
      <c r="F331" s="133"/>
    </row>
    <row r="332" spans="2:6" ht="14.4">
      <c r="B332" s="119">
        <v>416</v>
      </c>
      <c r="D332" s="119" t="s">
        <v>481</v>
      </c>
      <c r="E332" s="164" t="s">
        <v>771</v>
      </c>
      <c r="F332" s="134"/>
    </row>
    <row r="333" spans="2:6" ht="14.4">
      <c r="B333" s="119">
        <v>417</v>
      </c>
      <c r="D333" s="119" t="s">
        <v>294</v>
      </c>
      <c r="E333" s="164" t="s">
        <v>772</v>
      </c>
      <c r="F333" s="134"/>
    </row>
    <row r="334" spans="2:6" ht="43.2">
      <c r="B334" s="119">
        <v>418</v>
      </c>
      <c r="D334" s="119" t="s">
        <v>773</v>
      </c>
      <c r="E334" s="164" t="s">
        <v>774</v>
      </c>
      <c r="F334" s="133"/>
    </row>
    <row r="335" spans="2:6" ht="14.4">
      <c r="B335" s="119">
        <v>419</v>
      </c>
      <c r="D335" s="119" t="s">
        <v>482</v>
      </c>
      <c r="E335" s="164" t="s">
        <v>775</v>
      </c>
      <c r="F335" s="133"/>
    </row>
    <row r="336" spans="2:6" ht="14.4">
      <c r="B336" s="119">
        <v>420</v>
      </c>
      <c r="D336" s="119" t="s">
        <v>130</v>
      </c>
      <c r="E336" s="164" t="s">
        <v>776</v>
      </c>
      <c r="F336" s="133"/>
    </row>
    <row r="337" spans="2:6" ht="27.6">
      <c r="B337" s="119">
        <v>42001</v>
      </c>
      <c r="C337" s="119" t="s">
        <v>916</v>
      </c>
      <c r="D337" s="119" t="s">
        <v>917</v>
      </c>
      <c r="E337" s="164" t="s">
        <v>918</v>
      </c>
      <c r="F337" s="133"/>
    </row>
    <row r="338" spans="2:6" ht="14.4">
      <c r="B338" s="119">
        <v>421</v>
      </c>
      <c r="D338" s="119" t="s">
        <v>128</v>
      </c>
      <c r="E338" s="164" t="s">
        <v>777</v>
      </c>
      <c r="F338" s="133"/>
    </row>
    <row r="339" spans="2:6" ht="27.6">
      <c r="B339" s="119">
        <v>42101</v>
      </c>
      <c r="C339" s="119" t="s">
        <v>873</v>
      </c>
      <c r="D339" s="119" t="s">
        <v>919</v>
      </c>
      <c r="E339" s="164" t="s">
        <v>920</v>
      </c>
      <c r="F339" s="133"/>
    </row>
    <row r="340" spans="2:6" ht="14.4">
      <c r="B340" s="119">
        <v>422</v>
      </c>
      <c r="D340" s="119" t="s">
        <v>177</v>
      </c>
      <c r="E340" s="164" t="s">
        <v>483</v>
      </c>
      <c r="F340" s="133"/>
    </row>
    <row r="341" spans="2:6" ht="28.8">
      <c r="B341" s="119">
        <v>423</v>
      </c>
      <c r="D341" s="119" t="s">
        <v>484</v>
      </c>
      <c r="E341" s="119" t="s">
        <v>778</v>
      </c>
      <c r="F341" s="133"/>
    </row>
    <row r="342" spans="2:6" ht="14.4">
      <c r="B342" s="119">
        <v>424</v>
      </c>
      <c r="D342" s="119" t="s">
        <v>295</v>
      </c>
      <c r="E342" s="164" t="s">
        <v>485</v>
      </c>
      <c r="F342" s="133"/>
    </row>
    <row r="343" spans="2:6" ht="43.2">
      <c r="B343" s="119">
        <v>425</v>
      </c>
      <c r="D343" s="119" t="s">
        <v>315</v>
      </c>
      <c r="E343" s="164" t="s">
        <v>779</v>
      </c>
      <c r="F343" s="133"/>
    </row>
    <row r="344" spans="2:6" ht="14.4">
      <c r="B344" s="119">
        <v>426</v>
      </c>
      <c r="D344" s="119" t="s">
        <v>143</v>
      </c>
      <c r="E344" s="164" t="s">
        <v>486</v>
      </c>
      <c r="F344" s="133"/>
    </row>
    <row r="345" spans="2:6" ht="14.4">
      <c r="B345" s="119">
        <v>427</v>
      </c>
      <c r="D345" s="119" t="s">
        <v>171</v>
      </c>
      <c r="E345" s="164" t="s">
        <v>780</v>
      </c>
      <c r="F345" s="133"/>
    </row>
    <row r="346" spans="2:6" ht="14.4">
      <c r="B346" s="119">
        <v>428</v>
      </c>
      <c r="D346" s="119" t="s">
        <v>781</v>
      </c>
      <c r="E346" s="164" t="s">
        <v>782</v>
      </c>
      <c r="F346" s="133"/>
    </row>
    <row r="347" spans="2:6" ht="14.4">
      <c r="B347" s="119">
        <v>429</v>
      </c>
      <c r="D347" s="119" t="s">
        <v>296</v>
      </c>
      <c r="E347" s="164" t="s">
        <v>783</v>
      </c>
      <c r="F347" s="133"/>
    </row>
    <row r="348" spans="2:6" ht="14.4">
      <c r="B348" s="119">
        <v>430</v>
      </c>
      <c r="D348" s="119" t="s">
        <v>297</v>
      </c>
      <c r="E348" s="164" t="s">
        <v>784</v>
      </c>
      <c r="F348" s="133"/>
    </row>
    <row r="349" spans="2:6" ht="14.4">
      <c r="B349" s="119">
        <v>431</v>
      </c>
      <c r="D349" s="119" t="s">
        <v>298</v>
      </c>
      <c r="E349" s="164" t="s">
        <v>785</v>
      </c>
      <c r="F349" s="133"/>
    </row>
    <row r="350" spans="2:6" ht="14.4">
      <c r="B350" s="119">
        <v>432</v>
      </c>
      <c r="D350" s="119" t="s">
        <v>170</v>
      </c>
      <c r="E350" s="164" t="s">
        <v>786</v>
      </c>
      <c r="F350" s="133"/>
    </row>
    <row r="351" spans="2:6" ht="14.4">
      <c r="B351" s="119">
        <v>433</v>
      </c>
      <c r="D351" s="119" t="s">
        <v>113</v>
      </c>
      <c r="E351" s="119" t="s">
        <v>113</v>
      </c>
      <c r="F351" s="133"/>
    </row>
    <row r="352" spans="2:6" ht="14.4">
      <c r="B352" s="119">
        <v>434</v>
      </c>
      <c r="D352" s="119" t="s">
        <v>487</v>
      </c>
      <c r="E352" s="119" t="s">
        <v>787</v>
      </c>
      <c r="F352" s="133"/>
    </row>
    <row r="353" spans="2:6" ht="28.8">
      <c r="B353" s="119">
        <v>435</v>
      </c>
      <c r="D353" s="119" t="s">
        <v>488</v>
      </c>
      <c r="E353" s="119" t="s">
        <v>788</v>
      </c>
      <c r="F353" s="133"/>
    </row>
    <row r="354" spans="2:6" ht="14.4">
      <c r="B354" s="119">
        <v>436</v>
      </c>
      <c r="D354" s="119" t="s">
        <v>299</v>
      </c>
      <c r="E354" s="119" t="s">
        <v>299</v>
      </c>
      <c r="F354" s="133"/>
    </row>
    <row r="355" spans="2:6" ht="57.6">
      <c r="B355" s="119">
        <v>437</v>
      </c>
      <c r="D355" s="119" t="s">
        <v>921</v>
      </c>
      <c r="E355" s="119" t="s">
        <v>524</v>
      </c>
      <c r="F355" s="133"/>
    </row>
    <row r="356" spans="2:6" ht="14.4">
      <c r="B356" s="119">
        <v>438</v>
      </c>
      <c r="D356" s="119" t="s">
        <v>178</v>
      </c>
      <c r="E356" s="164" t="s">
        <v>489</v>
      </c>
      <c r="F356" s="133"/>
    </row>
    <row r="357" spans="2:6" ht="14.4">
      <c r="B357" s="119">
        <v>439</v>
      </c>
      <c r="D357" s="119" t="s">
        <v>922</v>
      </c>
      <c r="E357" s="164" t="s">
        <v>490</v>
      </c>
      <c r="F357" s="133"/>
    </row>
    <row r="358" spans="2:6" ht="14.4">
      <c r="B358" s="119">
        <v>440</v>
      </c>
      <c r="D358" s="119" t="s">
        <v>119</v>
      </c>
      <c r="E358" s="164" t="s">
        <v>491</v>
      </c>
      <c r="F358" s="133"/>
    </row>
    <row r="359" spans="2:6" ht="14.4">
      <c r="B359" s="119">
        <v>441</v>
      </c>
      <c r="D359" s="119" t="s">
        <v>300</v>
      </c>
      <c r="E359" s="164" t="s">
        <v>789</v>
      </c>
      <c r="F359" s="133"/>
    </row>
    <row r="360" spans="2:6" ht="14.4">
      <c r="B360" s="119">
        <v>442</v>
      </c>
      <c r="D360" s="119" t="s">
        <v>301</v>
      </c>
      <c r="E360" s="164" t="s">
        <v>790</v>
      </c>
      <c r="F360" s="133"/>
    </row>
    <row r="361" spans="2:6" ht="14.4">
      <c r="B361" s="119">
        <v>443</v>
      </c>
      <c r="D361" s="119" t="s">
        <v>302</v>
      </c>
      <c r="E361" s="119" t="s">
        <v>791</v>
      </c>
      <c r="F361" s="133"/>
    </row>
    <row r="362" spans="2:6" ht="14.4">
      <c r="B362" s="119">
        <v>444</v>
      </c>
      <c r="D362" s="119" t="s">
        <v>303</v>
      </c>
      <c r="E362" s="164" t="s">
        <v>492</v>
      </c>
      <c r="F362" s="133"/>
    </row>
    <row r="363" spans="2:6" ht="14.4">
      <c r="B363" s="119">
        <v>445</v>
      </c>
      <c r="D363" s="119" t="s">
        <v>493</v>
      </c>
      <c r="F363" s="133"/>
    </row>
    <row r="364" spans="2:6" ht="14.4">
      <c r="B364" s="119">
        <v>446</v>
      </c>
      <c r="D364" s="119" t="s">
        <v>494</v>
      </c>
      <c r="F364" s="134"/>
    </row>
    <row r="365" spans="2:6" ht="14.4">
      <c r="B365" s="119">
        <v>447</v>
      </c>
      <c r="D365" s="119" t="s">
        <v>495</v>
      </c>
      <c r="E365" s="119" t="s">
        <v>792</v>
      </c>
      <c r="F365" s="133"/>
    </row>
    <row r="366" spans="2:6" ht="14.4">
      <c r="B366" s="119">
        <v>448</v>
      </c>
      <c r="D366" s="119" t="s">
        <v>923</v>
      </c>
      <c r="E366" s="119" t="s">
        <v>793</v>
      </c>
      <c r="F366" s="133"/>
    </row>
    <row r="367" spans="2:6" ht="14.4">
      <c r="B367" s="119">
        <v>449</v>
      </c>
      <c r="D367" s="119" t="s">
        <v>496</v>
      </c>
      <c r="E367" s="119" t="s">
        <v>924</v>
      </c>
      <c r="F367" s="133"/>
    </row>
    <row r="368" spans="2:6" ht="14.4">
      <c r="B368" s="119">
        <v>450</v>
      </c>
      <c r="D368" s="119" t="s">
        <v>819</v>
      </c>
      <c r="E368" s="119" t="s">
        <v>794</v>
      </c>
      <c r="F368" s="133"/>
    </row>
    <row r="369" spans="2:6" ht="14.4">
      <c r="B369" s="119">
        <v>451</v>
      </c>
      <c r="D369" s="119" t="s">
        <v>497</v>
      </c>
      <c r="E369" s="119" t="s">
        <v>795</v>
      </c>
      <c r="F369" s="133"/>
    </row>
    <row r="370" spans="2:6" ht="28.8">
      <c r="B370" s="119">
        <v>452</v>
      </c>
      <c r="D370" s="119" t="s">
        <v>925</v>
      </c>
      <c r="E370" s="119" t="s">
        <v>926</v>
      </c>
      <c r="F370" s="133"/>
    </row>
    <row r="371" spans="2:6" ht="14.4">
      <c r="B371" s="119">
        <v>453</v>
      </c>
      <c r="D371" s="119" t="s">
        <v>168</v>
      </c>
      <c r="E371" s="119" t="s">
        <v>168</v>
      </c>
      <c r="F371" s="133"/>
    </row>
    <row r="372" spans="2:6" ht="28.8">
      <c r="B372" s="119">
        <v>454</v>
      </c>
      <c r="D372" s="119" t="s">
        <v>927</v>
      </c>
      <c r="E372" s="164" t="s">
        <v>928</v>
      </c>
      <c r="F372" s="133"/>
    </row>
    <row r="373" spans="2:6" ht="14.4">
      <c r="B373" s="119">
        <v>455</v>
      </c>
      <c r="D373" s="119" t="s">
        <v>319</v>
      </c>
      <c r="E373" s="164" t="s">
        <v>796</v>
      </c>
      <c r="F373" s="133"/>
    </row>
    <row r="374" spans="2:6" ht="14.4">
      <c r="B374" s="119">
        <v>456</v>
      </c>
      <c r="D374" s="119" t="s">
        <v>498</v>
      </c>
      <c r="E374" s="119" t="s">
        <v>797</v>
      </c>
      <c r="F374" s="133"/>
    </row>
    <row r="375" spans="2:6" ht="14.4">
      <c r="B375" s="119">
        <v>457</v>
      </c>
      <c r="D375" s="119" t="s">
        <v>499</v>
      </c>
      <c r="E375" s="119" t="s">
        <v>798</v>
      </c>
      <c r="F375" s="133"/>
    </row>
    <row r="376" spans="2:6" ht="14.4">
      <c r="B376" s="119">
        <v>458</v>
      </c>
      <c r="D376" s="119" t="s">
        <v>500</v>
      </c>
      <c r="E376" s="119" t="s">
        <v>799</v>
      </c>
      <c r="F376" s="133"/>
    </row>
    <row r="377" spans="2:6" ht="14.4">
      <c r="B377" s="119">
        <v>459</v>
      </c>
      <c r="D377" s="119" t="s">
        <v>501</v>
      </c>
      <c r="E377" s="164" t="s">
        <v>800</v>
      </c>
      <c r="F377" s="133"/>
    </row>
    <row r="378" spans="2:6" ht="28.8">
      <c r="B378" s="119">
        <v>460</v>
      </c>
      <c r="D378" s="119" t="s">
        <v>502</v>
      </c>
      <c r="E378" s="119" t="s">
        <v>801</v>
      </c>
      <c r="F378" s="133"/>
    </row>
    <row r="379" spans="2:6" ht="14.4">
      <c r="B379" s="119">
        <v>461</v>
      </c>
      <c r="D379" s="119" t="s">
        <v>503</v>
      </c>
      <c r="E379" s="164" t="s">
        <v>800</v>
      </c>
      <c r="F379" s="133"/>
    </row>
    <row r="380" spans="2:6" ht="14.4">
      <c r="B380" s="119">
        <v>462</v>
      </c>
      <c r="D380" s="119" t="s">
        <v>312</v>
      </c>
      <c r="E380" s="164" t="s">
        <v>802</v>
      </c>
      <c r="F380" s="133"/>
    </row>
    <row r="381" spans="2:6" ht="14.4">
      <c r="B381" s="119">
        <v>463</v>
      </c>
      <c r="D381" s="119" t="s">
        <v>141</v>
      </c>
      <c r="E381" s="164" t="s">
        <v>803</v>
      </c>
      <c r="F381" s="133"/>
    </row>
    <row r="382" spans="2:6" ht="14.4">
      <c r="B382" s="119">
        <v>464</v>
      </c>
      <c r="D382" s="119" t="s">
        <v>504</v>
      </c>
      <c r="E382" s="164" t="s">
        <v>804</v>
      </c>
      <c r="F382" s="133"/>
    </row>
    <row r="383" spans="2:6" ht="14.4">
      <c r="B383" s="119">
        <v>465</v>
      </c>
      <c r="D383" s="119" t="s">
        <v>142</v>
      </c>
      <c r="E383" s="164" t="s">
        <v>805</v>
      </c>
      <c r="F383" s="133"/>
    </row>
    <row r="384" spans="2:6" ht="28.8">
      <c r="B384" s="119">
        <v>466</v>
      </c>
      <c r="D384" s="119" t="s">
        <v>505</v>
      </c>
      <c r="E384" s="119" t="s">
        <v>806</v>
      </c>
      <c r="F384" s="133"/>
    </row>
    <row r="385" spans="2:6" ht="14.4">
      <c r="B385" s="119">
        <v>467</v>
      </c>
      <c r="D385" s="119" t="s">
        <v>506</v>
      </c>
      <c r="E385" s="119" t="s">
        <v>799</v>
      </c>
      <c r="F385" s="133"/>
    </row>
    <row r="386" spans="2:6" ht="43.2">
      <c r="B386" s="119">
        <v>468</v>
      </c>
      <c r="D386" s="119" t="s">
        <v>507</v>
      </c>
      <c r="E386" s="164" t="s">
        <v>807</v>
      </c>
      <c r="F386" s="133"/>
    </row>
    <row r="387" spans="2:6" ht="57.6">
      <c r="B387" s="119">
        <v>469</v>
      </c>
      <c r="D387" s="119" t="s">
        <v>508</v>
      </c>
      <c r="E387" s="164" t="s">
        <v>808</v>
      </c>
      <c r="F387" s="133"/>
    </row>
    <row r="388" spans="2:6" ht="14.4">
      <c r="B388" s="119">
        <v>470</v>
      </c>
      <c r="D388" s="119" t="s">
        <v>304</v>
      </c>
      <c r="E388" s="164" t="s">
        <v>809</v>
      </c>
      <c r="F388" s="131"/>
    </row>
    <row r="389" spans="2:6" ht="56.4">
      <c r="B389" s="119">
        <v>471</v>
      </c>
      <c r="D389" s="119" t="s">
        <v>509</v>
      </c>
      <c r="E389" s="164" t="s">
        <v>810</v>
      </c>
    </row>
    <row r="390" spans="2:6" ht="14.4">
      <c r="B390" s="119">
        <v>472</v>
      </c>
      <c r="D390" s="119" t="s">
        <v>305</v>
      </c>
      <c r="E390" s="164" t="s">
        <v>811</v>
      </c>
    </row>
    <row r="391" spans="2:6" ht="14.4">
      <c r="B391" s="119">
        <v>473</v>
      </c>
      <c r="D391" s="119" t="s">
        <v>306</v>
      </c>
      <c r="E391" s="164" t="s">
        <v>812</v>
      </c>
    </row>
    <row r="392" spans="2:6" ht="14.4">
      <c r="B392" s="119">
        <v>474</v>
      </c>
      <c r="D392" s="119" t="s">
        <v>307</v>
      </c>
      <c r="E392" s="119" t="s">
        <v>813</v>
      </c>
    </row>
    <row r="393" spans="2:6" ht="14.4">
      <c r="B393" s="119">
        <v>475</v>
      </c>
      <c r="D393" s="119" t="s">
        <v>308</v>
      </c>
      <c r="E393" s="119" t="s">
        <v>814</v>
      </c>
    </row>
    <row r="394" spans="2:6" ht="14.4">
      <c r="B394" s="119">
        <v>476</v>
      </c>
      <c r="D394" s="119" t="s">
        <v>510</v>
      </c>
      <c r="E394" s="119" t="s">
        <v>815</v>
      </c>
    </row>
    <row r="395" spans="2:6" ht="14.4">
      <c r="B395" s="119">
        <v>477</v>
      </c>
      <c r="D395" s="119" t="s">
        <v>314</v>
      </c>
      <c r="E395" s="164" t="s">
        <v>816</v>
      </c>
    </row>
    <row r="396" spans="2:6" ht="28.8">
      <c r="B396" s="119">
        <v>478</v>
      </c>
      <c r="D396" s="119" t="s">
        <v>929</v>
      </c>
      <c r="E396" s="119" t="s">
        <v>930</v>
      </c>
    </row>
    <row r="397" spans="2:6" ht="14.4">
      <c r="B397" s="119">
        <v>479</v>
      </c>
      <c r="D397" s="119" t="s">
        <v>931</v>
      </c>
      <c r="E397" s="119" t="s">
        <v>932</v>
      </c>
    </row>
    <row r="398" spans="2:6" ht="14.4">
      <c r="B398" s="119">
        <v>480</v>
      </c>
      <c r="D398" s="119" t="s">
        <v>933</v>
      </c>
      <c r="E398" s="119" t="s">
        <v>934</v>
      </c>
    </row>
    <row r="399" spans="2:6" ht="43.2">
      <c r="B399" s="119">
        <v>481</v>
      </c>
      <c r="D399" s="119" t="s">
        <v>935</v>
      </c>
      <c r="E399" s="119" t="s">
        <v>936</v>
      </c>
    </row>
    <row r="400" spans="2:6" ht="28.8">
      <c r="B400" s="119">
        <v>482</v>
      </c>
      <c r="D400" s="119" t="s">
        <v>937</v>
      </c>
      <c r="E400" s="119" t="s">
        <v>938</v>
      </c>
    </row>
    <row r="401" spans="2:5" ht="28.8">
      <c r="B401" s="119">
        <v>483</v>
      </c>
      <c r="D401" s="119" t="s">
        <v>939</v>
      </c>
      <c r="E401" s="119" t="s">
        <v>940</v>
      </c>
    </row>
    <row r="402" spans="2:5" ht="28.8">
      <c r="B402" s="119">
        <v>484</v>
      </c>
      <c r="D402" s="119" t="s">
        <v>941</v>
      </c>
      <c r="E402" s="119" t="s">
        <v>942</v>
      </c>
    </row>
    <row r="403" spans="2:5" ht="43.2">
      <c r="B403" s="119">
        <v>485</v>
      </c>
      <c r="D403" s="119" t="s">
        <v>943</v>
      </c>
      <c r="E403" s="119" t="s">
        <v>944</v>
      </c>
    </row>
    <row r="404" spans="2:5" ht="14.4">
      <c r="B404" s="119">
        <v>486</v>
      </c>
      <c r="D404" s="119" t="s">
        <v>945</v>
      </c>
      <c r="E404" s="119" t="s">
        <v>946</v>
      </c>
    </row>
    <row r="405" spans="2:5" ht="43.2">
      <c r="B405" s="119">
        <v>487</v>
      </c>
      <c r="D405" s="119" t="s">
        <v>990</v>
      </c>
      <c r="E405" s="119" t="s">
        <v>991</v>
      </c>
    </row>
  </sheetData>
  <sortState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김영환</cp:lastModifiedBy>
  <cp:lastPrinted>2015-10-24T14:06:22Z</cp:lastPrinted>
  <dcterms:created xsi:type="dcterms:W3CDTF">2000-03-16T11:25:57Z</dcterms:created>
  <dcterms:modified xsi:type="dcterms:W3CDTF">2017-11-05T02:52:48Z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